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pool0.isilon-sb.intranet.local\Horizonfiles\UEMUserProfile\AIUKQZ5\Desktop\"/>
    </mc:Choice>
  </mc:AlternateContent>
  <xr:revisionPtr revIDLastSave="0" documentId="8_{7C80D7E4-2A95-4233-8445-1CBEF1D2B414}" xr6:coauthVersionLast="47" xr6:coauthVersionMax="47" xr10:uidLastSave="{00000000-0000-0000-0000-000000000000}"/>
  <bookViews>
    <workbookView xWindow="-120" yWindow="-120" windowWidth="20730" windowHeight="11040" activeTab="4" xr2:uid="{6B76E05D-1066-44A0-8B5A-648A7079AA94}"/>
  </bookViews>
  <sheets>
    <sheet name="Dashboard" sheetId="9" r:id="rId1"/>
    <sheet name="Help Desk Tickets" sheetId="10" r:id="rId2"/>
    <sheet name="Month" sheetId="3" r:id="rId3"/>
    <sheet name="Hour" sheetId="4" r:id="rId4"/>
    <sheet name="Week" sheetId="2" r:id="rId5"/>
    <sheet name="ResolutionTimeAnalysis" sheetId="5" r:id="rId6"/>
    <sheet name="Analyst performance" sheetId="6" r:id="rId7"/>
    <sheet name="Recommendations" sheetId="7" r:id="rId8"/>
  </sheets>
  <definedNames>
    <definedName name="_xlcn.WorksheetConnection_help_desk_tickets.xlsxTable1" hidden="1">Table1</definedName>
    <definedName name="Slicer_Month">#N/A</definedName>
    <definedName name="Slicer_Priority">#N/A</definedName>
    <definedName name="Slicer_Week">#N/A</definedName>
  </definedNames>
  <calcPr calcId="191029"/>
  <pivotCaches>
    <pivotCache cacheId="71" r:id="rId9"/>
    <pivotCache cacheId="72" r:id="rId10"/>
    <pivotCache cacheId="7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elp_desk_ticket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1" i="10" l="1"/>
  <c r="J151" i="10"/>
  <c r="I151" i="10"/>
  <c r="H151" i="10"/>
  <c r="K150" i="10"/>
  <c r="J150" i="10"/>
  <c r="I150" i="10"/>
  <c r="H150" i="10"/>
  <c r="K149" i="10"/>
  <c r="J149" i="10"/>
  <c r="I149" i="10"/>
  <c r="H149" i="10"/>
  <c r="K148" i="10"/>
  <c r="J148" i="10"/>
  <c r="I148" i="10"/>
  <c r="H148" i="10"/>
  <c r="K147" i="10"/>
  <c r="J147" i="10"/>
  <c r="I147" i="10"/>
  <c r="H147" i="10"/>
  <c r="K146" i="10"/>
  <c r="J146" i="10"/>
  <c r="I146" i="10"/>
  <c r="H146" i="10"/>
  <c r="K145" i="10"/>
  <c r="J145" i="10"/>
  <c r="I145" i="10"/>
  <c r="H145" i="10"/>
  <c r="K144" i="10"/>
  <c r="J144" i="10"/>
  <c r="I144" i="10"/>
  <c r="H144" i="10"/>
  <c r="K143" i="10"/>
  <c r="J143" i="10"/>
  <c r="I143" i="10"/>
  <c r="H143" i="10"/>
  <c r="K142" i="10"/>
  <c r="J142" i="10"/>
  <c r="I142" i="10"/>
  <c r="H142" i="10"/>
  <c r="K141" i="10"/>
  <c r="J141" i="10"/>
  <c r="I141" i="10"/>
  <c r="H141" i="10"/>
  <c r="K140" i="10"/>
  <c r="J140" i="10"/>
  <c r="I140" i="10"/>
  <c r="H140" i="10"/>
  <c r="K139" i="10"/>
  <c r="J139" i="10"/>
  <c r="I139" i="10"/>
  <c r="H139" i="10"/>
  <c r="K138" i="10"/>
  <c r="J138" i="10"/>
  <c r="I138" i="10"/>
  <c r="H138" i="10"/>
  <c r="K137" i="10"/>
  <c r="J137" i="10"/>
  <c r="I137" i="10"/>
  <c r="H137" i="10"/>
  <c r="K136" i="10"/>
  <c r="J136" i="10"/>
  <c r="I136" i="10"/>
  <c r="H136" i="10"/>
  <c r="K135" i="10"/>
  <c r="J135" i="10"/>
  <c r="I135" i="10"/>
  <c r="H135" i="10"/>
  <c r="K134" i="10"/>
  <c r="J134" i="10"/>
  <c r="I134" i="10"/>
  <c r="H134" i="10"/>
  <c r="K133" i="10"/>
  <c r="J133" i="10"/>
  <c r="I133" i="10"/>
  <c r="H133" i="10"/>
  <c r="K132" i="10"/>
  <c r="J132" i="10"/>
  <c r="I132" i="10"/>
  <c r="H132" i="10"/>
  <c r="K131" i="10"/>
  <c r="J131" i="10"/>
  <c r="I131" i="10"/>
  <c r="H131" i="10"/>
  <c r="K130" i="10"/>
  <c r="J130" i="10"/>
  <c r="I130" i="10"/>
  <c r="H130" i="10"/>
  <c r="K129" i="10"/>
  <c r="J129" i="10"/>
  <c r="I129" i="10"/>
  <c r="H129" i="10"/>
  <c r="K128" i="10"/>
  <c r="J128" i="10"/>
  <c r="I128" i="10"/>
  <c r="H128" i="10"/>
  <c r="K127" i="10"/>
  <c r="J127" i="10"/>
  <c r="I127" i="10"/>
  <c r="H127" i="10"/>
  <c r="K126" i="10"/>
  <c r="J126" i="10"/>
  <c r="I126" i="10"/>
  <c r="H126" i="10"/>
  <c r="K125" i="10"/>
  <c r="J125" i="10"/>
  <c r="I125" i="10"/>
  <c r="H125" i="10"/>
  <c r="K124" i="10"/>
  <c r="J124" i="10"/>
  <c r="I124" i="10"/>
  <c r="H124" i="10"/>
  <c r="K123" i="10"/>
  <c r="J123" i="10"/>
  <c r="I123" i="10"/>
  <c r="H123" i="10"/>
  <c r="K122" i="10"/>
  <c r="J122" i="10"/>
  <c r="I122" i="10"/>
  <c r="H122" i="10"/>
  <c r="K121" i="10"/>
  <c r="J121" i="10"/>
  <c r="I121" i="10"/>
  <c r="H121" i="10"/>
  <c r="K120" i="10"/>
  <c r="J120" i="10"/>
  <c r="I120" i="10"/>
  <c r="H120" i="10"/>
  <c r="K119" i="10"/>
  <c r="J119" i="10"/>
  <c r="I119" i="10"/>
  <c r="H119" i="10"/>
  <c r="K118" i="10"/>
  <c r="J118" i="10"/>
  <c r="I118" i="10"/>
  <c r="H118" i="10"/>
  <c r="K117" i="10"/>
  <c r="J117" i="10"/>
  <c r="I117" i="10"/>
  <c r="H117" i="10"/>
  <c r="K116" i="10"/>
  <c r="J116" i="10"/>
  <c r="I116" i="10"/>
  <c r="H116" i="10"/>
  <c r="K115" i="10"/>
  <c r="J115" i="10"/>
  <c r="I115" i="10"/>
  <c r="H115" i="10"/>
  <c r="K114" i="10"/>
  <c r="J114" i="10"/>
  <c r="I114" i="10"/>
  <c r="H114" i="10"/>
  <c r="K113" i="10"/>
  <c r="J113" i="10"/>
  <c r="I113" i="10"/>
  <c r="H113" i="10"/>
  <c r="K112" i="10"/>
  <c r="J112" i="10"/>
  <c r="I112" i="10"/>
  <c r="H112" i="10"/>
  <c r="K111" i="10"/>
  <c r="J111" i="10"/>
  <c r="I111" i="10"/>
  <c r="H111" i="10"/>
  <c r="K110" i="10"/>
  <c r="J110" i="10"/>
  <c r="I110" i="10"/>
  <c r="H110" i="10"/>
  <c r="K109" i="10"/>
  <c r="J109" i="10"/>
  <c r="I109" i="10"/>
  <c r="H109" i="10"/>
  <c r="K108" i="10"/>
  <c r="J108" i="10"/>
  <c r="I108" i="10"/>
  <c r="H108" i="10"/>
  <c r="K107" i="10"/>
  <c r="J107" i="10"/>
  <c r="I107" i="10"/>
  <c r="H107" i="10"/>
  <c r="K106" i="10"/>
  <c r="J106" i="10"/>
  <c r="I106" i="10"/>
  <c r="H106" i="10"/>
  <c r="K105" i="10"/>
  <c r="J105" i="10"/>
  <c r="I105" i="10"/>
  <c r="H105" i="10"/>
  <c r="K104" i="10"/>
  <c r="J104" i="10"/>
  <c r="I104" i="10"/>
  <c r="H104" i="10"/>
  <c r="K103" i="10"/>
  <c r="J103" i="10"/>
  <c r="I103" i="10"/>
  <c r="H103" i="10"/>
  <c r="K102" i="10"/>
  <c r="J102" i="10"/>
  <c r="I102" i="10"/>
  <c r="H102" i="10"/>
  <c r="K101" i="10"/>
  <c r="J101" i="10"/>
  <c r="I101" i="10"/>
  <c r="H101" i="10"/>
  <c r="K100" i="10"/>
  <c r="J100" i="10"/>
  <c r="I100" i="10"/>
  <c r="H100" i="10"/>
  <c r="K99" i="10"/>
  <c r="J99" i="10"/>
  <c r="I99" i="10"/>
  <c r="H99" i="10"/>
  <c r="K98" i="10"/>
  <c r="J98" i="10"/>
  <c r="I98" i="10"/>
  <c r="H98" i="10"/>
  <c r="K97" i="10"/>
  <c r="J97" i="10"/>
  <c r="I97" i="10"/>
  <c r="H97" i="10"/>
  <c r="K96" i="10"/>
  <c r="J96" i="10"/>
  <c r="I96" i="10"/>
  <c r="H96" i="10"/>
  <c r="K95" i="10"/>
  <c r="J95" i="10"/>
  <c r="I95" i="10"/>
  <c r="H95" i="10"/>
  <c r="K94" i="10"/>
  <c r="J94" i="10"/>
  <c r="I94" i="10"/>
  <c r="H94" i="10"/>
  <c r="K93" i="10"/>
  <c r="J93" i="10"/>
  <c r="I93" i="10"/>
  <c r="H93" i="10"/>
  <c r="K92" i="10"/>
  <c r="J92" i="10"/>
  <c r="I92" i="10"/>
  <c r="H92" i="10"/>
  <c r="K91" i="10"/>
  <c r="J91" i="10"/>
  <c r="I91" i="10"/>
  <c r="H91" i="10"/>
  <c r="K90" i="10"/>
  <c r="J90" i="10"/>
  <c r="I90" i="10"/>
  <c r="H90" i="10"/>
  <c r="K89" i="10"/>
  <c r="J89" i="10"/>
  <c r="I89" i="10"/>
  <c r="H89" i="10"/>
  <c r="K88" i="10"/>
  <c r="J88" i="10"/>
  <c r="I88" i="10"/>
  <c r="H88" i="10"/>
  <c r="K87" i="10"/>
  <c r="J87" i="10"/>
  <c r="I87" i="10"/>
  <c r="H87" i="10"/>
  <c r="K86" i="10"/>
  <c r="J86" i="10"/>
  <c r="I86" i="10"/>
  <c r="H86" i="10"/>
  <c r="K85" i="10"/>
  <c r="J85" i="10"/>
  <c r="I85" i="10"/>
  <c r="H85" i="10"/>
  <c r="K84" i="10"/>
  <c r="J84" i="10"/>
  <c r="I84" i="10"/>
  <c r="H84" i="10"/>
  <c r="K83" i="10"/>
  <c r="J83" i="10"/>
  <c r="I83" i="10"/>
  <c r="H83" i="10"/>
  <c r="K82" i="10"/>
  <c r="J82" i="10"/>
  <c r="I82" i="10"/>
  <c r="H82" i="10"/>
  <c r="K81" i="10"/>
  <c r="J81" i="10"/>
  <c r="I81" i="10"/>
  <c r="H81" i="10"/>
  <c r="K80" i="10"/>
  <c r="J80" i="10"/>
  <c r="I80" i="10"/>
  <c r="H80" i="10"/>
  <c r="K79" i="10"/>
  <c r="J79" i="10"/>
  <c r="I79" i="10"/>
  <c r="H79" i="10"/>
  <c r="K78" i="10"/>
  <c r="J78" i="10"/>
  <c r="I78" i="10"/>
  <c r="H78" i="10"/>
  <c r="K77" i="10"/>
  <c r="J77" i="10"/>
  <c r="I77" i="10"/>
  <c r="H77" i="10"/>
  <c r="K76" i="10"/>
  <c r="J76" i="10"/>
  <c r="I76" i="10"/>
  <c r="H76" i="10"/>
  <c r="K75" i="10"/>
  <c r="J75" i="10"/>
  <c r="I75" i="10"/>
  <c r="H75" i="10"/>
  <c r="K74" i="10"/>
  <c r="J74" i="10"/>
  <c r="I74" i="10"/>
  <c r="H74" i="10"/>
  <c r="K73" i="10"/>
  <c r="J73" i="10"/>
  <c r="I73" i="10"/>
  <c r="H73" i="10"/>
  <c r="K72" i="10"/>
  <c r="J72" i="10"/>
  <c r="I72" i="10"/>
  <c r="H72" i="10"/>
  <c r="K71" i="10"/>
  <c r="J71" i="10"/>
  <c r="I71" i="10"/>
  <c r="H71" i="10"/>
  <c r="K70" i="10"/>
  <c r="J70" i="10"/>
  <c r="I70" i="10"/>
  <c r="H70" i="10"/>
  <c r="K69" i="10"/>
  <c r="J69" i="10"/>
  <c r="I69" i="10"/>
  <c r="H69" i="10"/>
  <c r="K68" i="10"/>
  <c r="J68" i="10"/>
  <c r="I68" i="10"/>
  <c r="H68" i="10"/>
  <c r="K67" i="10"/>
  <c r="J67" i="10"/>
  <c r="I67" i="10"/>
  <c r="H67" i="10"/>
  <c r="K66" i="10"/>
  <c r="J66" i="10"/>
  <c r="I66" i="10"/>
  <c r="H66" i="10"/>
  <c r="K65" i="10"/>
  <c r="J65" i="10"/>
  <c r="I65" i="10"/>
  <c r="H65" i="10"/>
  <c r="K64" i="10"/>
  <c r="J64" i="10"/>
  <c r="I64" i="10"/>
  <c r="H64" i="10"/>
  <c r="K63" i="10"/>
  <c r="J63" i="10"/>
  <c r="I63" i="10"/>
  <c r="H63" i="10"/>
  <c r="K62" i="10"/>
  <c r="J62" i="10"/>
  <c r="I62" i="10"/>
  <c r="H62" i="10"/>
  <c r="K61" i="10"/>
  <c r="J61" i="10"/>
  <c r="I61" i="10"/>
  <c r="H61" i="10"/>
  <c r="K60" i="10"/>
  <c r="J60" i="10"/>
  <c r="I60" i="10"/>
  <c r="H60" i="10"/>
  <c r="K59" i="10"/>
  <c r="J59" i="10"/>
  <c r="I59" i="10"/>
  <c r="H59" i="10"/>
  <c r="K58" i="10"/>
  <c r="J58" i="10"/>
  <c r="I58" i="10"/>
  <c r="H58" i="10"/>
  <c r="K57" i="10"/>
  <c r="J57" i="10"/>
  <c r="I57" i="10"/>
  <c r="H57" i="10"/>
  <c r="K56" i="10"/>
  <c r="J56" i="10"/>
  <c r="I56" i="10"/>
  <c r="H56" i="10"/>
  <c r="K55" i="10"/>
  <c r="J55" i="10"/>
  <c r="I55" i="10"/>
  <c r="H55" i="10"/>
  <c r="K54" i="10"/>
  <c r="J54" i="10"/>
  <c r="I54" i="10"/>
  <c r="H54" i="10"/>
  <c r="K53" i="10"/>
  <c r="J53" i="10"/>
  <c r="I53" i="10"/>
  <c r="H53" i="10"/>
  <c r="K52" i="10"/>
  <c r="J52" i="10"/>
  <c r="I52" i="10"/>
  <c r="H52" i="10"/>
  <c r="K51" i="10"/>
  <c r="J51" i="10"/>
  <c r="I51" i="10"/>
  <c r="H51" i="10"/>
  <c r="K50" i="10"/>
  <c r="J50" i="10"/>
  <c r="I50" i="10"/>
  <c r="H50" i="10"/>
  <c r="K49" i="10"/>
  <c r="J49" i="10"/>
  <c r="I49" i="10"/>
  <c r="H49" i="10"/>
  <c r="K48" i="10"/>
  <c r="J48" i="10"/>
  <c r="I48" i="10"/>
  <c r="H48" i="10"/>
  <c r="K47" i="10"/>
  <c r="J47" i="10"/>
  <c r="I47" i="10"/>
  <c r="H47" i="10"/>
  <c r="K46" i="10"/>
  <c r="J46" i="10"/>
  <c r="I46" i="10"/>
  <c r="H46" i="10"/>
  <c r="K45" i="10"/>
  <c r="J45" i="10"/>
  <c r="I45" i="10"/>
  <c r="H45" i="10"/>
  <c r="K44" i="10"/>
  <c r="J44" i="10"/>
  <c r="I44" i="10"/>
  <c r="H44" i="10"/>
  <c r="K43" i="10"/>
  <c r="J43" i="10"/>
  <c r="I43" i="10"/>
  <c r="H43" i="10"/>
  <c r="K42" i="10"/>
  <c r="J42" i="10"/>
  <c r="I42" i="10"/>
  <c r="H42" i="10"/>
  <c r="K41" i="10"/>
  <c r="J41" i="10"/>
  <c r="I41" i="10"/>
  <c r="H41" i="10"/>
  <c r="K40" i="10"/>
  <c r="J40" i="10"/>
  <c r="I40" i="10"/>
  <c r="H40" i="10"/>
  <c r="K39" i="10"/>
  <c r="J39" i="10"/>
  <c r="I39" i="10"/>
  <c r="H39" i="10"/>
  <c r="K38" i="10"/>
  <c r="J38" i="10"/>
  <c r="I38" i="10"/>
  <c r="H38" i="10"/>
  <c r="K37" i="10"/>
  <c r="J37" i="10"/>
  <c r="I37" i="10"/>
  <c r="H37" i="10"/>
  <c r="K36" i="10"/>
  <c r="J36" i="10"/>
  <c r="I36" i="10"/>
  <c r="H36" i="10"/>
  <c r="K35" i="10"/>
  <c r="J35" i="10"/>
  <c r="I35" i="10"/>
  <c r="H35" i="10"/>
  <c r="K34" i="10"/>
  <c r="J34" i="10"/>
  <c r="I34" i="10"/>
  <c r="H34" i="10"/>
  <c r="K33" i="10"/>
  <c r="J33" i="10"/>
  <c r="I33" i="10"/>
  <c r="H33" i="10"/>
  <c r="K32" i="10"/>
  <c r="J32" i="10"/>
  <c r="I32" i="10"/>
  <c r="H32" i="10"/>
  <c r="K31" i="10"/>
  <c r="J31" i="10"/>
  <c r="I31" i="10"/>
  <c r="H31" i="10"/>
  <c r="K30" i="10"/>
  <c r="J30" i="10"/>
  <c r="I30" i="10"/>
  <c r="H30" i="10"/>
  <c r="K29" i="10"/>
  <c r="J29" i="10"/>
  <c r="I29" i="10"/>
  <c r="H29" i="10"/>
  <c r="K28" i="10"/>
  <c r="J28" i="10"/>
  <c r="I28" i="10"/>
  <c r="H28" i="10"/>
  <c r="K27" i="10"/>
  <c r="J27" i="10"/>
  <c r="I27" i="10"/>
  <c r="H27" i="10"/>
  <c r="K26" i="10"/>
  <c r="J26" i="10"/>
  <c r="I26" i="10"/>
  <c r="H26" i="10"/>
  <c r="K25" i="10"/>
  <c r="J25" i="10"/>
  <c r="I25" i="10"/>
  <c r="H25" i="10"/>
  <c r="K24" i="10"/>
  <c r="J24" i="10"/>
  <c r="I24" i="10"/>
  <c r="H24" i="10"/>
  <c r="K23" i="10"/>
  <c r="J23" i="10"/>
  <c r="I23" i="10"/>
  <c r="H23" i="10"/>
  <c r="K22" i="10"/>
  <c r="J22" i="10"/>
  <c r="I22" i="10"/>
  <c r="H22" i="10"/>
  <c r="K21" i="10"/>
  <c r="J21" i="10"/>
  <c r="I21" i="10"/>
  <c r="H21" i="10"/>
  <c r="K20" i="10"/>
  <c r="J20" i="10"/>
  <c r="I20" i="10"/>
  <c r="H20" i="10"/>
  <c r="K19" i="10"/>
  <c r="J19" i="10"/>
  <c r="I19" i="10"/>
  <c r="H19" i="10"/>
  <c r="K18" i="10"/>
  <c r="J18" i="10"/>
  <c r="I18" i="10"/>
  <c r="H18" i="10"/>
  <c r="K17" i="10"/>
  <c r="J17" i="10"/>
  <c r="I17" i="10"/>
  <c r="H17" i="10"/>
  <c r="K16" i="10"/>
  <c r="J16" i="10"/>
  <c r="I16" i="10"/>
  <c r="H16" i="10"/>
  <c r="K15" i="10"/>
  <c r="J15" i="10"/>
  <c r="I15" i="10"/>
  <c r="H15" i="10"/>
  <c r="K14" i="10"/>
  <c r="J14" i="10"/>
  <c r="I14" i="10"/>
  <c r="H14" i="10"/>
  <c r="K13" i="10"/>
  <c r="J13" i="10"/>
  <c r="I13" i="10"/>
  <c r="H13" i="10"/>
  <c r="K12" i="10"/>
  <c r="J12" i="10"/>
  <c r="I12" i="10"/>
  <c r="H12" i="10"/>
  <c r="K11" i="10"/>
  <c r="J11" i="10"/>
  <c r="I11" i="10"/>
  <c r="H11" i="10"/>
  <c r="K10" i="10"/>
  <c r="J10" i="10"/>
  <c r="I10" i="10"/>
  <c r="H10" i="10"/>
  <c r="K9" i="10"/>
  <c r="J9" i="10"/>
  <c r="I9" i="10"/>
  <c r="H9" i="10"/>
  <c r="K8" i="10"/>
  <c r="J8" i="10"/>
  <c r="I8" i="10"/>
  <c r="H8" i="10"/>
  <c r="K7" i="10"/>
  <c r="J7" i="10"/>
  <c r="I7" i="10"/>
  <c r="H7" i="10"/>
  <c r="K6" i="10"/>
  <c r="J6" i="10"/>
  <c r="I6" i="10"/>
  <c r="H6" i="10"/>
  <c r="K5" i="10"/>
  <c r="J5" i="10"/>
  <c r="I5" i="10"/>
  <c r="H5" i="10"/>
  <c r="K4" i="10"/>
  <c r="J4" i="10"/>
  <c r="I4" i="10"/>
  <c r="H4" i="10"/>
  <c r="K3" i="10"/>
  <c r="J3" i="10"/>
  <c r="I3" i="10"/>
  <c r="H3" i="10"/>
  <c r="K2" i="10"/>
  <c r="J2" i="10"/>
  <c r="I2" i="10"/>
  <c r="H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1CC5E-910C-4CEE-85E1-C9F6E8689A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C1E89A-F423-4DF2-BF96-6E871226A85D}" name="WorksheetConnection_help_desk_tickets.xlsx!Table1" type="102" refreshedVersion="8" minRefreshableVersion="5">
    <extLst>
      <ext xmlns:x15="http://schemas.microsoft.com/office/spreadsheetml/2010/11/main" uri="{DE250136-89BD-433C-8126-D09CA5730AF9}">
        <x15:connection id="Table1" autoDelete="1">
          <x15:rangePr sourceName="_xlcn.WorksheetConnection_help_desk_tickets.xlsxTable1"/>
        </x15:connection>
      </ext>
    </extLst>
  </connection>
</connections>
</file>

<file path=xl/sharedStrings.xml><?xml version="1.0" encoding="utf-8"?>
<sst xmlns="http://schemas.openxmlformats.org/spreadsheetml/2006/main" count="836" uniqueCount="359">
  <si>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</si>
  <si>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</si>
  <si>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</si>
  <si>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</si>
  <si>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</si>
  <si>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</si>
  <si>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</si>
  <si>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</si>
  <si>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</si>
  <si>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</si>
  <si>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</si>
  <si>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</si>
  <si>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</si>
  <si>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</si>
  <si>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</si>
  <si>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</si>
  <si>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</si>
  <si>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</si>
  <si>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</si>
  <si>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</si>
  <si>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</si>
  <si>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</si>
  <si>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</si>
  <si>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</si>
  <si>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</si>
  <si>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</si>
  <si>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</si>
  <si>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</si>
  <si>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</si>
  <si>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</si>
  <si>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</si>
  <si>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</si>
  <si>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</si>
  <si>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</si>
  <si>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</si>
  <si>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</si>
  <si>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</si>
  <si>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</si>
  <si>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</si>
  <si>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</si>
  <si>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</si>
  <si>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</si>
  <si>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</si>
  <si>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</si>
  <si>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</si>
  <si>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</si>
  <si>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</si>
  <si>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</si>
  <si>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</si>
  <si>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</si>
  <si>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</si>
  <si>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</si>
  <si>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</si>
  <si>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</si>
  <si>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</si>
  <si>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</si>
  <si>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</si>
  <si>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</si>
  <si>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</si>
  <si>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</si>
  <si>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</si>
  <si>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</si>
  <si>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</si>
  <si>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</si>
  <si>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</si>
  <si>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</si>
  <si>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</si>
  <si>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</si>
  <si>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</si>
  <si>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</si>
  <si>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</si>
  <si>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</si>
  <si>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</si>
  <si>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</si>
  <si>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</si>
  <si>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</si>
  <si>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</si>
  <si>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</si>
  <si>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</si>
  <si>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</si>
  <si>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</si>
  <si>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</si>
  <si>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</si>
  <si>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</si>
  <si>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</si>
  <si>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</si>
  <si>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</si>
  <si>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</si>
  <si>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</si>
  <si>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</si>
  <si>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</si>
  <si>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</si>
  <si>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</si>
  <si>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</si>
  <si>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</si>
  <si>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</si>
  <si>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</si>
  <si>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</si>
  <si>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</si>
  <si>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</si>
  <si>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</si>
  <si>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</si>
  <si>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</si>
  <si>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</si>
  <si>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</si>
  <si>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</si>
  <si>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</si>
  <si>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</si>
  <si>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</si>
  <si>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</si>
  <si>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</si>
  <si>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</si>
  <si>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</si>
  <si>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</si>
  <si>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</si>
  <si>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</si>
  <si>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</si>
  <si>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</si>
  <si>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</si>
  <si>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</si>
  <si>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</si>
  <si>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</si>
  <si>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</si>
  <si>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</si>
  <si>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</si>
  <si>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</si>
  <si>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</si>
  <si>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</si>
  <si>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</si>
  <si>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</si>
  <si>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</si>
  <si>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</si>
  <si>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</si>
  <si>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</si>
  <si>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</si>
  <si>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</si>
  <si>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</si>
  <si>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</si>
  <si>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</si>
  <si>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</si>
  <si>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</si>
  <si>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</si>
  <si>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</si>
  <si>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</si>
  <si>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</si>
  <si>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</si>
  <si>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</si>
  <si>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</si>
  <si>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</si>
  <si>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</si>
  <si>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</si>
  <si>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</si>
  <si>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</si>
  <si>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</si>
  <si>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</si>
  <si>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</si>
  <si>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</si>
  <si>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</si>
  <si>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</si>
  <si>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</si>
  <si>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</si>
  <si>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</si>
  <si>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</si>
  <si>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</si>
  <si>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</si>
  <si>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</si>
  <si>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</si>
  <si>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</si>
  <si>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</si>
  <si>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</si>
  <si>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</si>
  <si>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</si>
  <si>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</si>
  <si>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</si>
  <si>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</si>
  <si>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</si>
  <si>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</si>
  <si>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</si>
  <si>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</si>
  <si>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</si>
  <si>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</si>
  <si>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</si>
  <si>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</si>
  <si>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</si>
  <si>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</si>
  <si>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</si>
  <si>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</si>
  <si>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</si>
  <si>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</si>
  <si>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</si>
  <si>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</si>
  <si>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</si>
  <si>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</si>
  <si>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</si>
  <si>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</si>
  <si>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</si>
  <si>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</si>
  <si>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</si>
  <si>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</si>
  <si>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</si>
  <si>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</si>
  <si>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</si>
  <si>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</si>
  <si>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</si>
  <si>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</si>
  <si>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</si>
  <si>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</si>
  <si>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</si>
  <si>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</si>
  <si>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</si>
  <si>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</si>
  <si>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</si>
  <si>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</si>
  <si>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</si>
  <si>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</si>
  <si>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</si>
  <si>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</si>
  <si>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</si>
  <si>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</si>
  <si>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</si>
  <si>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</si>
  <si>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</si>
  <si>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</si>
  <si>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</si>
  <si>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</si>
  <si>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</si>
  <si>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</si>
  <si>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</si>
  <si>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</si>
  <si>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</si>
  <si>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</si>
  <si>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</si>
  <si>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</si>
  <si>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</si>
  <si>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</si>
  <si>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</si>
  <si>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</si>
  <si>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</si>
  <si>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</si>
  <si>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</si>
  <si>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</si>
  <si>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</si>
  <si>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</si>
  <si>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</si>
  <si>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</si>
  <si>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</si>
  <si>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</si>
  <si>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</si>
  <si>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</si>
  <si>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</si>
  <si>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</si>
  <si>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</si>
  <si>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</si>
  <si>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</si>
  <si>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</si>
  <si>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</si>
  <si>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</si>
  <si>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</si>
  <si>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</si>
  <si>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</si>
  <si>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</si>
  <si>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</si>
  <si>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</si>
  <si>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</si>
  <si>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</si>
  <si>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</si>
  <si>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</si>
  <si>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</si>
  <si>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</si>
  <si>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</si>
  <si>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</si>
  <si>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</si>
  <si>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</si>
  <si>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</si>
  <si>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</si>
  <si>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</si>
  <si>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</si>
  <si>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</si>
  <si>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</si>
  <si>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</si>
  <si>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</si>
  <si>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</si>
  <si>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</si>
  <si>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</si>
  <si>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</si>
  <si>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</si>
  <si>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</si>
  <si>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</si>
  <si>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</si>
  <si>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</si>
  <si>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</si>
  <si>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</si>
  <si>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</si>
  <si>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</si>
  <si>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</si>
  <si>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</si>
  <si>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</si>
  <si>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</si>
  <si>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</si>
  <si>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</si>
  <si>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</si>
  <si>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</si>
  <si>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</si>
  <si>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</si>
  <si>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</si>
  <si>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</si>
  <si>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</si>
  <si>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</si>
  <si>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</si>
  <si>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</si>
  <si>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</si>
  <si>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</si>
  <si>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</si>
  <si>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</si>
  <si>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</si>
  <si>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</si>
  <si>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</si>
  <si>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</si>
  <si>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</si>
  <si>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</si>
  <si>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</si>
  <si>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Week</t>
  </si>
  <si>
    <t>Month</t>
  </si>
  <si>
    <t>Hour</t>
  </si>
  <si>
    <t>Row Labels</t>
  </si>
  <si>
    <t>Sunday</t>
  </si>
  <si>
    <t>Monday</t>
  </si>
  <si>
    <t>Tuesday</t>
  </si>
  <si>
    <t>Wednesday</t>
  </si>
  <si>
    <t>Thursday</t>
  </si>
  <si>
    <t>Friday</t>
  </si>
  <si>
    <t>Saturday</t>
  </si>
  <si>
    <t>Grand Total</t>
  </si>
  <si>
    <t>Count of ticket_id</t>
  </si>
  <si>
    <t>Jun</t>
  </si>
  <si>
    <t>Jul</t>
  </si>
  <si>
    <t>Aug</t>
  </si>
  <si>
    <t>Sep</t>
  </si>
  <si>
    <t>Average of Resultion Time</t>
  </si>
  <si>
    <t>password</t>
  </si>
  <si>
    <t>crashing</t>
  </si>
  <si>
    <t>Wi-Fi</t>
  </si>
  <si>
    <t>keyboard</t>
  </si>
  <si>
    <t>Implement an automated password reset tool to reduce the volume of 'Access' tickets.</t>
  </si>
  <si>
    <t>Critical priority level solved in less time and low priority took long time.</t>
  </si>
  <si>
    <t>Amanda White has the more time to resolve the issues. So she might need proper training.</t>
  </si>
  <si>
    <t>Tickets has more in midnight and 6am, 5pm.</t>
  </si>
  <si>
    <t>Tickets raised more for the crashing the application X, Keyboard not working, Wifi issues, Password.</t>
  </si>
  <si>
    <t>For crashing application, need to update application</t>
  </si>
  <si>
    <t>For keyboard, if it has loose connection or has hardware problem. If it is hardware problem, the has to replace.</t>
  </si>
  <si>
    <t>Wifi issues might be oin busiest hours or coverage issue.</t>
  </si>
  <si>
    <t>ticket_id</t>
  </si>
  <si>
    <t>submission_date</t>
  </si>
  <si>
    <t>resolution_date</t>
  </si>
  <si>
    <t>category</t>
  </si>
  <si>
    <t>assigned_analyst</t>
  </si>
  <si>
    <t>description</t>
  </si>
  <si>
    <t>priority</t>
  </si>
  <si>
    <t>Resolution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</si>
</sst>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19" formatCode="m/d/yyyy"/>
    </dxf>
    <dxf>
      <numFmt numFmtId="164" formatCode="[$-F400]h:mm:ss\ AM/PM"/>
    </dxf>
    <dxf>
      <numFmt numFmtId="167" formatCode="yyyy\-mm\-dd;@"/>
    </dxf>
    <dxf>
      <numFmt numFmtId="167"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Desk..xlsx]Month!PivotTable2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Month!$A$4:$A$8</c:f>
              <c:strCache>
                <c:ptCount val="4"/>
                <c:pt idx="0">
                  <c:v>Aug</c:v>
                </c:pt>
                <c:pt idx="1">
                  <c:v>Jul</c:v>
                </c:pt>
                <c:pt idx="2">
                  <c:v>Jun</c:v>
                </c:pt>
                <c:pt idx="3">
                  <c:v>Sep</c:v>
                </c:pt>
              </c:strCache>
            </c:strRef>
          </c:cat>
          <c:val>
            <c:numRef>
              <c:f>Month!$B$4:$B$8</c:f>
              <c:numCache>
                <c:formatCode>General</c:formatCode>
                <c:ptCount val="4"/>
                <c:pt idx="0">
                  <c:v>45</c:v>
                </c:pt>
                <c:pt idx="1">
                  <c:v>51</c:v>
                </c:pt>
                <c:pt idx="2">
                  <c:v>27</c:v>
                </c:pt>
                <c:pt idx="3">
                  <c:v>27</c:v>
                </c:pt>
              </c:numCache>
            </c:numRef>
          </c:val>
          <c:extLst>
            <c:ext xmlns:c16="http://schemas.microsoft.com/office/drawing/2014/chart" uri="{C3380CC4-5D6E-409C-BE32-E72D297353CC}">
              <c16:uniqueId val="{00000000-783C-4220-9C21-5686DCB2EA2A}"/>
            </c:ext>
          </c:extLst>
        </c:ser>
        <c:dLbls>
          <c:showLegendKey val="0"/>
          <c:showVal val="0"/>
          <c:showCatName val="0"/>
          <c:showSerName val="0"/>
          <c:showPercent val="0"/>
          <c:showBubbleSize val="0"/>
        </c:dLbls>
        <c:gapWidth val="219"/>
        <c:overlap val="-27"/>
        <c:axId val="1044282607"/>
        <c:axId val="1044284527"/>
      </c:barChart>
      <c:catAx>
        <c:axId val="10442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4527"/>
        <c:crosses val="autoZero"/>
        <c:auto val="1"/>
        <c:lblAlgn val="ctr"/>
        <c:lblOffset val="100"/>
        <c:noMultiLvlLbl val="0"/>
      </c:catAx>
      <c:valAx>
        <c:axId val="10442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2607"/>
        <c:crosses val="autoZero"/>
        <c:crossBetween val="between"/>
      </c:valAx>
      <c:spPr>
        <a:solidFill>
          <a:schemeClr val="accent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Desk..xlsx]Week!PivotTable1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Week!$B$3</c:f>
              <c:strCache>
                <c:ptCount val="1"/>
                <c:pt idx="0">
                  <c:v>Total</c:v>
                </c:pt>
              </c:strCache>
            </c:strRef>
          </c:tx>
          <c:spPr>
            <a:solidFill>
              <a:schemeClr val="accent1"/>
            </a:solidFill>
            <a:ln>
              <a:noFill/>
            </a:ln>
            <a:effectLst/>
          </c:spPr>
          <c:invertIfNegative val="0"/>
          <c:cat>
            <c:strRef>
              <c:f>Week!$A$4:$A$11</c:f>
              <c:strCache>
                <c:ptCount val="7"/>
                <c:pt idx="0">
                  <c:v>Sunday</c:v>
                </c:pt>
                <c:pt idx="1">
                  <c:v>Monday</c:v>
                </c:pt>
                <c:pt idx="2">
                  <c:v>Tuesday</c:v>
                </c:pt>
                <c:pt idx="3">
                  <c:v>Wednesday</c:v>
                </c:pt>
                <c:pt idx="4">
                  <c:v>Thursday</c:v>
                </c:pt>
                <c:pt idx="5">
                  <c:v>Friday</c:v>
                </c:pt>
                <c:pt idx="6">
                  <c:v>Saturday</c:v>
                </c:pt>
              </c:strCache>
            </c:strRef>
          </c:cat>
          <c:val>
            <c:numRef>
              <c:f>Week!$B$4:$B$11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EF3B-4ABB-A04C-555581395CFC}"/>
            </c:ext>
          </c:extLst>
        </c:ser>
        <c:dLbls>
          <c:showLegendKey val="0"/>
          <c:showVal val="0"/>
          <c:showCatName val="0"/>
          <c:showSerName val="0"/>
          <c:showPercent val="0"/>
          <c:showBubbleSize val="0"/>
        </c:dLbls>
        <c:gapWidth val="219"/>
        <c:overlap val="-27"/>
        <c:axId val="950361855"/>
        <c:axId val="950364255"/>
      </c:barChart>
      <c:catAx>
        <c:axId val="9503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4255"/>
        <c:crosses val="autoZero"/>
        <c:auto val="1"/>
        <c:lblAlgn val="ctr"/>
        <c:lblOffset val="100"/>
        <c:noMultiLvlLbl val="0"/>
      </c:catAx>
      <c:valAx>
        <c:axId val="95036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1855"/>
        <c:crosses val="autoZero"/>
        <c:crossBetween val="between"/>
      </c:valAx>
      <c:spPr>
        <a:solidFill>
          <a:schemeClr val="accent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Desk..xlsx]Hour!PivotTable3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Hour!$B$3</c:f>
              <c:strCache>
                <c:ptCount val="1"/>
                <c:pt idx="0">
                  <c:v>Total</c:v>
                </c:pt>
              </c:strCache>
            </c:strRef>
          </c:tx>
          <c:spPr>
            <a:solidFill>
              <a:schemeClr val="accent1"/>
            </a:solidFill>
            <a:ln>
              <a:noFill/>
            </a:ln>
            <a:effectLst/>
          </c:spPr>
          <c:invertIfNegative val="0"/>
          <c:cat>
            <c:strRef>
              <c:f>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Hour!$B$4:$B$28</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82C6-43D1-8665-A434C16AB8F3}"/>
            </c:ext>
          </c:extLst>
        </c:ser>
        <c:dLbls>
          <c:showLegendKey val="0"/>
          <c:showVal val="0"/>
          <c:showCatName val="0"/>
          <c:showSerName val="0"/>
          <c:showPercent val="0"/>
          <c:showBubbleSize val="0"/>
        </c:dLbls>
        <c:gapWidth val="219"/>
        <c:overlap val="-27"/>
        <c:axId val="950362815"/>
        <c:axId val="950363295"/>
      </c:barChart>
      <c:catAx>
        <c:axId val="9503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3295"/>
        <c:crosses val="autoZero"/>
        <c:auto val="1"/>
        <c:lblAlgn val="ctr"/>
        <c:lblOffset val="100"/>
        <c:noMultiLvlLbl val="0"/>
      </c:catAx>
      <c:valAx>
        <c:axId val="9503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2815"/>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Desk..xlsx]ResolutionTimeAnalysis!PivotTable4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ResolutionTimeAnalysis!$B$3</c:f>
              <c:strCache>
                <c:ptCount val="1"/>
                <c:pt idx="0">
                  <c:v>Total</c:v>
                </c:pt>
              </c:strCache>
            </c:strRef>
          </c:tx>
          <c:spPr>
            <a:solidFill>
              <a:schemeClr val="accent1"/>
            </a:solidFill>
            <a:ln>
              <a:noFill/>
            </a:ln>
            <a:effectLst/>
          </c:spPr>
          <c:invertIfNegative val="0"/>
          <c:cat>
            <c:multiLvlStrRef>
              <c:f>ResolutionTimeAnalysis!$A$4:$A$31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ResolutionTimeAnalysis!$B$4:$B$31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extLst>
            <c:ext xmlns:c16="http://schemas.microsoft.com/office/drawing/2014/chart" uri="{C3380CC4-5D6E-409C-BE32-E72D297353CC}">
              <c16:uniqueId val="{00000000-FDB0-49A9-8D06-4DEAFEE94C78}"/>
            </c:ext>
          </c:extLst>
        </c:ser>
        <c:dLbls>
          <c:showLegendKey val="0"/>
          <c:showVal val="0"/>
          <c:showCatName val="0"/>
          <c:showSerName val="0"/>
          <c:showPercent val="0"/>
          <c:showBubbleSize val="0"/>
        </c:dLbls>
        <c:gapWidth val="219"/>
        <c:overlap val="-27"/>
        <c:axId val="1596214863"/>
        <c:axId val="1596205263"/>
      </c:barChart>
      <c:catAx>
        <c:axId val="15962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05263"/>
        <c:crosses val="autoZero"/>
        <c:auto val="1"/>
        <c:lblAlgn val="ctr"/>
        <c:lblOffset val="100"/>
        <c:noMultiLvlLbl val="0"/>
      </c:catAx>
      <c:valAx>
        <c:axId val="1596205263"/>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14863"/>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Desk..xlsx]Analyst performance!PivotTable5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0-409F-9B3D-050D229D37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0-409F-9B3D-050D229D3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E0-409F-9B3D-050D229D37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E0-409F-9B3D-050D229D37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E0-409F-9B3D-050D229D37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E0-409F-9B3D-050D229D37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E0-409F-9B3D-050D229D37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E0-409F-9B3D-050D229D37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E0-409F-9B3D-050D229D37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E0-409F-9B3D-050D229D376F}"/>
              </c:ext>
            </c:extLst>
          </c:dPt>
          <c:cat>
            <c:strRef>
              <c:f>'Analyst performance'!$A$4:$A$14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'Analyst performance'!$B$4:$B$14</c:f>
              <c:numCache>
                <c:formatCode>[$-F400]h:mm:ss\ AM/PM</c:formatCode>
                <c:ptCount val="10"/>
                <c:pt idx="0">
                  <c:v>27.262321428571425</c:v>
                </c:pt>
                <c:pt idx="1">
                  <c:v>33.45392857142857</c:v>
                </c:pt>
                <c:pt idx="2">
                  <c:v>35.375320512820515</c:v>
                </c:pt>
                <c:pt idx="3">
                  <c:v>46.389930555555551</c:v>
                </c:pt>
                <c:pt idx="4">
                  <c:v>47.042602880658428</c:v>
                </c:pt>
                <c:pt idx="5">
                  <c:v>50.214640522875818</c:v>
                </c:pt>
                <c:pt idx="6">
                  <c:v>64.433263888888888</c:v>
                </c:pt>
                <c:pt idx="7">
                  <c:v>66.843559027777786</c:v>
                </c:pt>
                <c:pt idx="8">
                  <c:v>72.610359477124177</c:v>
                </c:pt>
                <c:pt idx="9">
                  <c:v>82.225592592592605</c:v>
                </c:pt>
              </c:numCache>
            </c:numRef>
          </c:val>
          <c:extLst>
            <c:ext xmlns:c16="http://schemas.microsoft.com/office/drawing/2014/chart" uri="{C3380CC4-5D6E-409C-BE32-E72D297353CC}">
              <c16:uniqueId val="{00000014-B1E0-409F-9B3D-050D229D37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Desk..xlsx]Month!PivotTable2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Month!$B$3</c:f>
              <c:strCache>
                <c:ptCount val="1"/>
                <c:pt idx="0">
                  <c:v>Total</c:v>
                </c:pt>
              </c:strCache>
            </c:strRef>
          </c:tx>
          <c:spPr>
            <a:solidFill>
              <a:schemeClr val="accent1"/>
            </a:solidFill>
            <a:ln>
              <a:noFill/>
            </a:ln>
            <a:effectLst/>
          </c:spPr>
          <c:invertIfNegative val="0"/>
          <c:cat>
            <c:strRef>
              <c:f>Month!$A$4:$A$8</c:f>
              <c:strCache>
                <c:ptCount val="4"/>
                <c:pt idx="0">
                  <c:v>Aug</c:v>
                </c:pt>
                <c:pt idx="1">
                  <c:v>Jul</c:v>
                </c:pt>
                <c:pt idx="2">
                  <c:v>Jun</c:v>
                </c:pt>
                <c:pt idx="3">
                  <c:v>Sep</c:v>
                </c:pt>
              </c:strCache>
            </c:strRef>
          </c:cat>
          <c:val>
            <c:numRef>
              <c:f>Month!$B$4:$B$8</c:f>
              <c:numCache>
                <c:formatCode>General</c:formatCode>
                <c:ptCount val="4"/>
                <c:pt idx="0">
                  <c:v>45</c:v>
                </c:pt>
                <c:pt idx="1">
                  <c:v>51</c:v>
                </c:pt>
                <c:pt idx="2">
                  <c:v>27</c:v>
                </c:pt>
                <c:pt idx="3">
                  <c:v>27</c:v>
                </c:pt>
              </c:numCache>
            </c:numRef>
          </c:val>
          <c:extLst>
            <c:ext xmlns:c16="http://schemas.microsoft.com/office/drawing/2014/chart" uri="{C3380CC4-5D6E-409C-BE32-E72D297353CC}">
              <c16:uniqueId val="{00000000-43F7-42FE-AF6E-84DA487A6E11}"/>
            </c:ext>
          </c:extLst>
        </c:ser>
        <c:dLbls>
          <c:showLegendKey val="0"/>
          <c:showVal val="0"/>
          <c:showCatName val="0"/>
          <c:showSerName val="0"/>
          <c:showPercent val="0"/>
          <c:showBubbleSize val="0"/>
        </c:dLbls>
        <c:gapWidth val="219"/>
        <c:overlap val="-27"/>
        <c:axId val="1044282607"/>
        <c:axId val="1044284527"/>
      </c:barChart>
      <c:catAx>
        <c:axId val="10442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4527"/>
        <c:crosses val="autoZero"/>
        <c:auto val="1"/>
        <c:lblAlgn val="ctr"/>
        <c:lblOffset val="100"/>
        <c:noMultiLvlLbl val="0"/>
      </c:catAx>
      <c:valAx>
        <c:axId val="104428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Desk..xlsx]Hour!PivotTable3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Hour!$B$3</c:f>
              <c:strCache>
                <c:ptCount val="1"/>
                <c:pt idx="0">
                  <c:v>Total</c:v>
                </c:pt>
              </c:strCache>
            </c:strRef>
          </c:tx>
          <c:spPr>
            <a:solidFill>
              <a:schemeClr val="accent1"/>
            </a:solidFill>
            <a:ln>
              <a:noFill/>
            </a:ln>
            <a:effectLst/>
          </c:spPr>
          <c:invertIfNegative val="0"/>
          <c:cat>
            <c:strRef>
              <c:f>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Hour!$B$4:$B$28</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8FB0-4934-A7A6-F9ABB5B35B23}"/>
            </c:ext>
          </c:extLst>
        </c:ser>
        <c:dLbls>
          <c:showLegendKey val="0"/>
          <c:showVal val="0"/>
          <c:showCatName val="0"/>
          <c:showSerName val="0"/>
          <c:showPercent val="0"/>
          <c:showBubbleSize val="0"/>
        </c:dLbls>
        <c:gapWidth val="219"/>
        <c:overlap val="-27"/>
        <c:axId val="950362815"/>
        <c:axId val="950363295"/>
      </c:barChart>
      <c:catAx>
        <c:axId val="9503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3295"/>
        <c:crosses val="autoZero"/>
        <c:auto val="1"/>
        <c:lblAlgn val="ctr"/>
        <c:lblOffset val="100"/>
        <c:noMultiLvlLbl val="0"/>
      </c:catAx>
      <c:valAx>
        <c:axId val="9503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Desk..xlsx]Week!PivotTable1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Week!$B$3</c:f>
              <c:strCache>
                <c:ptCount val="1"/>
                <c:pt idx="0">
                  <c:v>Total</c:v>
                </c:pt>
              </c:strCache>
            </c:strRef>
          </c:tx>
          <c:spPr>
            <a:solidFill>
              <a:schemeClr val="accent1"/>
            </a:solidFill>
            <a:ln>
              <a:noFill/>
            </a:ln>
            <a:effectLst/>
          </c:spPr>
          <c:invertIfNegative val="0"/>
          <c:cat>
            <c:strRef>
              <c:f>Week!$A$4:$A$11</c:f>
              <c:strCache>
                <c:ptCount val="7"/>
                <c:pt idx="0">
                  <c:v>Sunday</c:v>
                </c:pt>
                <c:pt idx="1">
                  <c:v>Monday</c:v>
                </c:pt>
                <c:pt idx="2">
                  <c:v>Tuesday</c:v>
                </c:pt>
                <c:pt idx="3">
                  <c:v>Wednesday</c:v>
                </c:pt>
                <c:pt idx="4">
                  <c:v>Thursday</c:v>
                </c:pt>
                <c:pt idx="5">
                  <c:v>Friday</c:v>
                </c:pt>
                <c:pt idx="6">
                  <c:v>Saturday</c:v>
                </c:pt>
              </c:strCache>
            </c:strRef>
          </c:cat>
          <c:val>
            <c:numRef>
              <c:f>Week!$B$4:$B$11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DF3C-40E8-98FA-3C588F198784}"/>
            </c:ext>
          </c:extLst>
        </c:ser>
        <c:dLbls>
          <c:showLegendKey val="0"/>
          <c:showVal val="0"/>
          <c:showCatName val="0"/>
          <c:showSerName val="0"/>
          <c:showPercent val="0"/>
          <c:showBubbleSize val="0"/>
        </c:dLbls>
        <c:gapWidth val="219"/>
        <c:overlap val="-27"/>
        <c:axId val="950361855"/>
        <c:axId val="950364255"/>
      </c:barChart>
      <c:catAx>
        <c:axId val="9503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4255"/>
        <c:crosses val="autoZero"/>
        <c:auto val="1"/>
        <c:lblAlgn val="ctr"/>
        <c:lblOffset val="100"/>
        <c:noMultiLvlLbl val="0"/>
      </c:catAx>
      <c:valAx>
        <c:axId val="95036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Desk..xlsx]ResolutionTimeAnalysis!PivotTable4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ResolutionTimeAnalysis!$B$3</c:f>
              <c:strCache>
                <c:ptCount val="1"/>
                <c:pt idx="0">
                  <c:v>Total</c:v>
                </c:pt>
              </c:strCache>
            </c:strRef>
          </c:tx>
          <c:spPr>
            <a:solidFill>
              <a:schemeClr val="accent1"/>
            </a:solidFill>
            <a:ln>
              <a:noFill/>
            </a:ln>
            <a:effectLst/>
          </c:spPr>
          <c:invertIfNegative val="0"/>
          <c:cat>
            <c:multiLvlStrRef>
              <c:f>ResolutionTimeAnalysis!$A$4:$A$31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ResolutionTimeAnalysis!$B$4:$B$31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extLst>
            <c:ext xmlns:c16="http://schemas.microsoft.com/office/drawing/2014/chart" uri="{C3380CC4-5D6E-409C-BE32-E72D297353CC}">
              <c16:uniqueId val="{00000000-21D7-493B-B855-EA61E9807023}"/>
            </c:ext>
          </c:extLst>
        </c:ser>
        <c:dLbls>
          <c:showLegendKey val="0"/>
          <c:showVal val="0"/>
          <c:showCatName val="0"/>
          <c:showSerName val="0"/>
          <c:showPercent val="0"/>
          <c:showBubbleSize val="0"/>
        </c:dLbls>
        <c:gapWidth val="219"/>
        <c:overlap val="-27"/>
        <c:axId val="1596214863"/>
        <c:axId val="1596205263"/>
      </c:barChart>
      <c:catAx>
        <c:axId val="15962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05263"/>
        <c:crosses val="autoZero"/>
        <c:auto val="1"/>
        <c:lblAlgn val="ctr"/>
        <c:lblOffset val="100"/>
        <c:noMultiLvlLbl val="0"/>
      </c:catAx>
      <c:valAx>
        <c:axId val="1596205263"/>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_ IT Help Desk..xlsx]Analyst performance!PivotTable5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8B-4EC0-9343-EB7204B037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8B-4EC0-9343-EB7204B037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8B-4EC0-9343-EB7204B037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8B-4EC0-9343-EB7204B037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8B-4EC0-9343-EB7204B037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8B-4EC0-9343-EB7204B037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48B-4EC0-9343-EB7204B0370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48B-4EC0-9343-EB7204B0370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48B-4EC0-9343-EB7204B0370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48B-4EC0-9343-EB7204B03701}"/>
              </c:ext>
            </c:extLst>
          </c:dPt>
          <c:cat>
            <c:strRef>
              <c:f>'Analyst performance'!$A$4:$A$14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'Analyst performance'!$B$4:$B$14</c:f>
              <c:numCache>
                <c:formatCode>[$-F400]h:mm:ss\ AM/PM</c:formatCode>
                <c:ptCount val="10"/>
                <c:pt idx="0">
                  <c:v>27.262321428571425</c:v>
                </c:pt>
                <c:pt idx="1">
                  <c:v>33.45392857142857</c:v>
                </c:pt>
                <c:pt idx="2">
                  <c:v>35.375320512820515</c:v>
                </c:pt>
                <c:pt idx="3">
                  <c:v>46.389930555555551</c:v>
                </c:pt>
                <c:pt idx="4">
                  <c:v>47.042602880658428</c:v>
                </c:pt>
                <c:pt idx="5">
                  <c:v>50.214640522875818</c:v>
                </c:pt>
                <c:pt idx="6">
                  <c:v>64.433263888888888</c:v>
                </c:pt>
                <c:pt idx="7">
                  <c:v>66.843559027777786</c:v>
                </c:pt>
                <c:pt idx="8">
                  <c:v>72.610359477124177</c:v>
                </c:pt>
                <c:pt idx="9">
                  <c:v>82.225592592592605</c:v>
                </c:pt>
              </c:numCache>
            </c:numRef>
          </c:val>
          <c:extLst>
            <c:ext xmlns:c16="http://schemas.microsoft.com/office/drawing/2014/chart" uri="{C3380CC4-5D6E-409C-BE32-E72D297353CC}">
              <c16:uniqueId val="{00000000-2559-4178-B564-609344880E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82550</xdr:rowOff>
    </xdr:from>
    <xdr:to>
      <xdr:col>5</xdr:col>
      <xdr:colOff>438150</xdr:colOff>
      <xdr:row>16</xdr:row>
      <xdr:rowOff>82550</xdr:rowOff>
    </xdr:to>
    <xdr:graphicFrame macro="">
      <xdr:nvGraphicFramePr>
        <xdr:cNvPr id="10" name="Chart 9">
          <a:extLst>
            <a:ext uri="{FF2B5EF4-FFF2-40B4-BE49-F238E27FC236}">
              <a16:creationId xmlns:a16="http://schemas.microsoft.com/office/drawing/2014/main" id="{9CB70D2E-8F61-45C4-8137-CBFC49696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4</xdr:row>
      <xdr:rowOff>82550</xdr:rowOff>
    </xdr:from>
    <xdr:to>
      <xdr:col>12</xdr:col>
      <xdr:colOff>273050</xdr:colOff>
      <xdr:row>16</xdr:row>
      <xdr:rowOff>101600</xdr:rowOff>
    </xdr:to>
    <xdr:graphicFrame macro="">
      <xdr:nvGraphicFramePr>
        <xdr:cNvPr id="12" name="Chart 11">
          <a:extLst>
            <a:ext uri="{FF2B5EF4-FFF2-40B4-BE49-F238E27FC236}">
              <a16:creationId xmlns:a16="http://schemas.microsoft.com/office/drawing/2014/main" id="{2B5D0CB5-E2E0-4379-A37A-52F670C8A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5</xdr:col>
      <xdr:colOff>450850</xdr:colOff>
      <xdr:row>31</xdr:row>
      <xdr:rowOff>177800</xdr:rowOff>
    </xdr:to>
    <xdr:graphicFrame macro="">
      <xdr:nvGraphicFramePr>
        <xdr:cNvPr id="13" name="Chart 12">
          <a:extLst>
            <a:ext uri="{FF2B5EF4-FFF2-40B4-BE49-F238E27FC236}">
              <a16:creationId xmlns:a16="http://schemas.microsoft.com/office/drawing/2014/main" id="{5CF4AD48-9889-4E2F-95EB-F1D1F633B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xdr:colOff>
      <xdr:row>18</xdr:row>
      <xdr:rowOff>38100</xdr:rowOff>
    </xdr:from>
    <xdr:to>
      <xdr:col>12</xdr:col>
      <xdr:colOff>228600</xdr:colOff>
      <xdr:row>32</xdr:row>
      <xdr:rowOff>44450</xdr:rowOff>
    </xdr:to>
    <xdr:graphicFrame macro="">
      <xdr:nvGraphicFramePr>
        <xdr:cNvPr id="15" name="Chart 14">
          <a:extLst>
            <a:ext uri="{FF2B5EF4-FFF2-40B4-BE49-F238E27FC236}">
              <a16:creationId xmlns:a16="http://schemas.microsoft.com/office/drawing/2014/main" id="{6966F253-F5B8-4977-9F9D-66E01208A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114300</xdr:rowOff>
    </xdr:from>
    <xdr:to>
      <xdr:col>5</xdr:col>
      <xdr:colOff>501650</xdr:colOff>
      <xdr:row>48</xdr:row>
      <xdr:rowOff>165100</xdr:rowOff>
    </xdr:to>
    <xdr:graphicFrame macro="">
      <xdr:nvGraphicFramePr>
        <xdr:cNvPr id="17" name="Chart 16">
          <a:extLst>
            <a:ext uri="{FF2B5EF4-FFF2-40B4-BE49-F238E27FC236}">
              <a16:creationId xmlns:a16="http://schemas.microsoft.com/office/drawing/2014/main" id="{90442FE4-9F74-462D-BDC6-182E35BFE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xdr:colOff>
      <xdr:row>4</xdr:row>
      <xdr:rowOff>107950</xdr:rowOff>
    </xdr:from>
    <xdr:to>
      <xdr:col>16</xdr:col>
      <xdr:colOff>336550</xdr:colOff>
      <xdr:row>34</xdr:row>
      <xdr:rowOff>120650</xdr:rowOff>
    </xdr:to>
    <xdr:sp macro="" textlink="">
      <xdr:nvSpPr>
        <xdr:cNvPr id="18" name="Rectangle 17">
          <a:extLst>
            <a:ext uri="{FF2B5EF4-FFF2-40B4-BE49-F238E27FC236}">
              <a16:creationId xmlns:a16="http://schemas.microsoft.com/office/drawing/2014/main" id="{224E4F3E-940D-1FE1-B3BE-E6F4EE6AF581}"/>
            </a:ext>
          </a:extLst>
        </xdr:cNvPr>
        <xdr:cNvSpPr/>
      </xdr:nvSpPr>
      <xdr:spPr>
        <a:xfrm>
          <a:off x="7962900" y="844550"/>
          <a:ext cx="2127250" cy="553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171450</xdr:colOff>
      <xdr:row>4</xdr:row>
      <xdr:rowOff>120650</xdr:rowOff>
    </xdr:from>
    <xdr:to>
      <xdr:col>16</xdr:col>
      <xdr:colOff>171450</xdr:colOff>
      <xdr:row>13</xdr:row>
      <xdr:rowOff>38100</xdr:rowOff>
    </xdr:to>
    <mc:AlternateContent xmlns:mc="http://schemas.openxmlformats.org/markup-compatibility/2006" xmlns:a14="http://schemas.microsoft.com/office/drawing/2010/main">
      <mc:Choice Requires="a14">
        <xdr:graphicFrame macro="">
          <xdr:nvGraphicFramePr>
            <xdr:cNvPr id="19" name="Priority">
              <a:extLst>
                <a:ext uri="{FF2B5EF4-FFF2-40B4-BE49-F238E27FC236}">
                  <a16:creationId xmlns:a16="http://schemas.microsoft.com/office/drawing/2014/main" id="{CE794341-2855-D450-A677-47DBDC7C274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8096250" y="857250"/>
              <a:ext cx="18288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171450</xdr:colOff>
      <xdr:row>21</xdr:row>
      <xdr:rowOff>88900</xdr:rowOff>
    </xdr:from>
    <xdr:to>
      <xdr:col>16</xdr:col>
      <xdr:colOff>171450</xdr:colOff>
      <xdr:row>34</xdr:row>
      <xdr:rowOff>57150</xdr:rowOff>
    </xdr:to>
    <mc:AlternateContent xmlns:mc="http://schemas.openxmlformats.org/markup-compatibility/2006" xmlns:a14="http://schemas.microsoft.com/office/drawing/2010/main">
      <mc:Choice Requires="a14">
        <xdr:graphicFrame macro="">
          <xdr:nvGraphicFramePr>
            <xdr:cNvPr id="20" name="Week">
              <a:extLst>
                <a:ext uri="{FF2B5EF4-FFF2-40B4-BE49-F238E27FC236}">
                  <a16:creationId xmlns:a16="http://schemas.microsoft.com/office/drawing/2014/main" id="{C8187EB4-F981-B20B-CB51-35F3FBFC1C00}"/>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8096250" y="3956050"/>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177800</xdr:colOff>
      <xdr:row>13</xdr:row>
      <xdr:rowOff>44450</xdr:rowOff>
    </xdr:from>
    <xdr:to>
      <xdr:col>16</xdr:col>
      <xdr:colOff>177800</xdr:colOff>
      <xdr:row>21</xdr:row>
      <xdr:rowOff>25400</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FCA1C6EE-8D3A-6829-E878-DB80D259C67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02600" y="2438400"/>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17</xdr:col>
      <xdr:colOff>66675</xdr:colOff>
      <xdr:row>4</xdr:row>
      <xdr:rowOff>25400</xdr:rowOff>
    </xdr:to>
    <xdr:sp macro="" textlink="">
      <xdr:nvSpPr>
        <xdr:cNvPr id="6" name="Rectangle 5">
          <a:extLst>
            <a:ext uri="{FF2B5EF4-FFF2-40B4-BE49-F238E27FC236}">
              <a16:creationId xmlns:a16="http://schemas.microsoft.com/office/drawing/2014/main" id="{0BA9ADA0-96BB-44DE-9D6D-A9532AE46B4B}"/>
            </a:ext>
          </a:extLst>
        </xdr:cNvPr>
        <xdr:cNvSpPr/>
      </xdr:nvSpPr>
      <xdr:spPr>
        <a:xfrm>
          <a:off x="0" y="0"/>
          <a:ext cx="10429875" cy="78740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t>IT Help Desk Tickets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292100</xdr:colOff>
      <xdr:row>1</xdr:row>
      <xdr:rowOff>139700</xdr:rowOff>
    </xdr:from>
    <xdr:to>
      <xdr:col>9</xdr:col>
      <xdr:colOff>596900</xdr:colOff>
      <xdr:row>16</xdr:row>
      <xdr:rowOff>120650</xdr:rowOff>
    </xdr:to>
    <xdr:graphicFrame macro="">
      <xdr:nvGraphicFramePr>
        <xdr:cNvPr id="2" name="Chart 1">
          <a:extLst>
            <a:ext uri="{FF2B5EF4-FFF2-40B4-BE49-F238E27FC236}">
              <a16:creationId xmlns:a16="http://schemas.microsoft.com/office/drawing/2014/main" id="{E86A8B8B-2D20-57B6-26F0-1AEDCE7BE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2</xdr:row>
      <xdr:rowOff>38100</xdr:rowOff>
    </xdr:from>
    <xdr:to>
      <xdr:col>26</xdr:col>
      <xdr:colOff>222250</xdr:colOff>
      <xdr:row>17</xdr:row>
      <xdr:rowOff>19050</xdr:rowOff>
    </xdr:to>
    <xdr:graphicFrame macro="">
      <xdr:nvGraphicFramePr>
        <xdr:cNvPr id="2" name="Chart 1">
          <a:extLst>
            <a:ext uri="{FF2B5EF4-FFF2-40B4-BE49-F238E27FC236}">
              <a16:creationId xmlns:a16="http://schemas.microsoft.com/office/drawing/2014/main" id="{659C5C02-0850-7E1D-7D51-DD456C4BE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279400</xdr:colOff>
      <xdr:row>1</xdr:row>
      <xdr:rowOff>165100</xdr:rowOff>
    </xdr:from>
    <xdr:to>
      <xdr:col>9</xdr:col>
      <xdr:colOff>584200</xdr:colOff>
      <xdr:row>16</xdr:row>
      <xdr:rowOff>146050</xdr:rowOff>
    </xdr:to>
    <xdr:graphicFrame macro="">
      <xdr:nvGraphicFramePr>
        <xdr:cNvPr id="2" name="Chart 1">
          <a:extLst>
            <a:ext uri="{FF2B5EF4-FFF2-40B4-BE49-F238E27FC236}">
              <a16:creationId xmlns:a16="http://schemas.microsoft.com/office/drawing/2014/main" id="{A4B69BB2-F952-153E-340D-01C586D92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273050</xdr:colOff>
      <xdr:row>1</xdr:row>
      <xdr:rowOff>146050</xdr:rowOff>
    </xdr:from>
    <xdr:to>
      <xdr:col>10</xdr:col>
      <xdr:colOff>114300</xdr:colOff>
      <xdr:row>16</xdr:row>
      <xdr:rowOff>127000</xdr:rowOff>
    </xdr:to>
    <xdr:graphicFrame macro="">
      <xdr:nvGraphicFramePr>
        <xdr:cNvPr id="3" name="Chart 2">
          <a:extLst>
            <a:ext uri="{FF2B5EF4-FFF2-40B4-BE49-F238E27FC236}">
              <a16:creationId xmlns:a16="http://schemas.microsoft.com/office/drawing/2014/main" id="{6EBE66C1-2C7C-0532-7BAA-BA6D85BA3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425450</xdr:colOff>
      <xdr:row>1</xdr:row>
      <xdr:rowOff>158750</xdr:rowOff>
    </xdr:from>
    <xdr:to>
      <xdr:col>11</xdr:col>
      <xdr:colOff>25400</xdr:colOff>
      <xdr:row>16</xdr:row>
      <xdr:rowOff>139700</xdr:rowOff>
    </xdr:to>
    <xdr:graphicFrame macro="">
      <xdr:nvGraphicFramePr>
        <xdr:cNvPr id="2" name="Chart 1">
          <a:extLst>
            <a:ext uri="{FF2B5EF4-FFF2-40B4-BE49-F238E27FC236}">
              <a16:creationId xmlns:a16="http://schemas.microsoft.com/office/drawing/2014/main" id="{407DFB0D-4C0D-B9F1-1276-662407EBB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rnima Konduru" refreshedDate="46100.998658217592" backgroundQuery="1" createdVersion="8" refreshedVersion="8" minRefreshableVersion="3" recordCount="0" supportSubquery="1" supportAdvancedDrill="1" xr:uid="{DF8FB2B8-C549-437A-90E6-FEB8A1364276}">
  <cacheSource type="external" connectionId="1"/>
  <cacheFields count="2">
    <cacheField name="[Measures].[Count of ticket_id]" caption="Count of ticket_id" numFmtId="0" hierarchy="20" level="32767"/>
    <cacheField name="[Table1].[Hour].[Hour]" caption="Hour" numFmtId="0" hierarchy="1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1].[Hour].&amp;[0]"/>
            <x15:cachedUniqueName index="1" name="[Table1].[Hour].&amp;[1]"/>
            <x15:cachedUniqueName index="2" name="[Table1].[Hour].&amp;[2]"/>
            <x15:cachedUniqueName index="3" name="[Table1].[Hour].&amp;[3]"/>
            <x15:cachedUniqueName index="4" name="[Table1].[Hour].&amp;[4]"/>
            <x15:cachedUniqueName index="5" name="[Table1].[Hour].&amp;[5]"/>
            <x15:cachedUniqueName index="6" name="[Table1].[Hour].&amp;[6]"/>
            <x15:cachedUniqueName index="7" name="[Table1].[Hour].&amp;[7]"/>
            <x15:cachedUniqueName index="8" name="[Table1].[Hour].&amp;[8]"/>
            <x15:cachedUniqueName index="9" name="[Table1].[Hour].&amp;[9]"/>
            <x15:cachedUniqueName index="10" name="[Table1].[Hour].&amp;[10]"/>
            <x15:cachedUniqueName index="11" name="[Table1].[Hour].&amp;[11]"/>
            <x15:cachedUniqueName index="12" name="[Table1].[Hour].&amp;[12]"/>
            <x15:cachedUniqueName index="13" name="[Table1].[Hour].&amp;[13]"/>
            <x15:cachedUniqueName index="14" name="[Table1].[Hour].&amp;[14]"/>
            <x15:cachedUniqueName index="15" name="[Table1].[Hour].&amp;[15]"/>
            <x15:cachedUniqueName index="16" name="[Table1].[Hour].&amp;[16]"/>
            <x15:cachedUniqueName index="17" name="[Table1].[Hour].&amp;[17]"/>
            <x15:cachedUniqueName index="18" name="[Table1].[Hour].&amp;[18]"/>
            <x15:cachedUniqueName index="19" name="[Table1].[Hour].&amp;[19]"/>
            <x15:cachedUniqueName index="20" name="[Table1].[Hour].&amp;[20]"/>
            <x15:cachedUniqueName index="21" name="[Table1].[Hour].&amp;[21]"/>
            <x15:cachedUniqueName index="22" name="[Table1].[Hour].&amp;[22]"/>
            <x15:cachedUniqueName index="23" name="[Table1].[Hour].&amp;[23]"/>
          </x15:cachedUniqueNames>
        </ext>
      </extLst>
    </cacheField>
  </cacheFields>
  <cacheHierarchies count="22">
    <cacheHierarchy uniqueName="[Table1].[Ticket_ID1]" caption="Ticket_ID1" attribute="1" defaultMemberUniqueName="[Table1].[Ticket_ID1].[All]" allUniqueName="[Table1].[Ticket_ID1].[All]" dimensionUniqueName="[Table1]" displayFolder="" count="0" memberValueDatatype="130" unbalanced="0"/>
    <cacheHierarchy uniqueName="[Table1].[Submission_Date1]" caption="Submission_Date1" attribute="1" time="1" defaultMemberUniqueName="[Table1].[Submission_Date1].[All]" allUniqueName="[Table1].[Submission_Date1].[All]" dimensionUniqueName="[Table1]" displayFolder="" count="0" memberValueDatatype="7" unbalanced="0"/>
    <cacheHierarchy uniqueName="[Table1].[Resolution_Date1]" caption="Resolution_Date1" attribute="1" time="1" defaultMemberUniqueName="[Table1].[Resolution_Date1].[All]" allUniqueName="[Table1].[Resolution_Date1].[All]" dimensionUniqueName="[Table1]" displayFolder="" count="0" memberValueDatatype="7" unbalanced="0"/>
    <cacheHierarchy uniqueName="[Table1].[Category1]" caption="Category1" attribute="1" defaultMemberUniqueName="[Table1].[Category1].[All]" allUniqueName="[Table1].[Category1].[All]" dimensionUniqueName="[Table1]" displayFolder="" count="0" memberValueDatatype="130" unbalanced="0"/>
    <cacheHierarchy uniqueName="[Table1].[Assigned_Analyst1]" caption="Assigned_Analyst1" attribute="1" defaultMemberUniqueName="[Table1].[Assigned_Analyst1].[All]" allUniqueName="[Table1].[Assigned_Analyst1].[All]" dimensionUniqueName="[Table1]" displayFolder="" count="0" memberValueDatatype="130" unbalanced="0"/>
    <cacheHierarchy uniqueName="[Table1].[Description1]" caption="Description1" attribute="1" defaultMemberUniqueName="[Table1].[Description1].[All]" allUniqueName="[Table1].[Description1].[All]" dimensionUniqueName="[Table1]" displayFolder="" count="0" memberValueDatatype="130" unbalanced="0"/>
    <cacheHierarchy uniqueName="[Table1].[Priority1]" caption="Priority1" attribute="1" defaultMemberUniqueName="[Table1].[Priority1].[All]" allUniqueName="[Table1].[Priority1].[All]" dimensionUniqueName="[Table1]" displayFolder="" count="0" memberValueDatatype="130" unbalanced="0"/>
    <cacheHierarchy uniqueName="[Table1].[Resultion Time]" caption="Resultion Time" attribute="1" time="1" defaultMemberUniqueName="[Table1].[Resultion Time].[All]" allUniqueName="[Table1].[Resultion Time].[All]" dimensionUniqueName="[Table1]" displayFolder="" count="0" memberValueDatatype="7" unbalanced="0"/>
    <cacheHierarchy uniqueName="[Table1].[Week]" caption="Week" attribute="1" defaultMemberUniqueName="[Table1].[Week].[All]" allUniqueName="[Table1].[Week].[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Hour]" caption="Hour" attribute="1" defaultMemberUniqueName="[Table1].[Hour].[All]" allUniqueName="[Table1].[Hour].[All]" dimensionUniqueName="[Table1]" displayFolder="" count="2" memberValueDatatype="20" unbalanced="0">
      <fieldsUsage count="2">
        <fieldUsage x="-1"/>
        <fieldUsage x="1"/>
      </fieldsUsage>
    </cacheHierarchy>
    <cacheHierarchy uniqueName="[Table1].[ticket_id]" caption="ticket_id" attribute="1" defaultMemberUniqueName="[Table1].[ticket_id].[All]" allUniqueName="[Table1].[ticket_id].[All]" dimensionUniqueName="[Table1]" displayFolder="" count="0" memberValueDatatype="13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resolution_date]" caption="resolution_date" attribute="1" time="1" defaultMemberUniqueName="[Table1].[resolution_date].[All]" allUniqueName="[Table1].[resolution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assigned_analyst]" caption="assigned_analyst" attribute="1" defaultMemberUniqueName="[Table1].[assigned_analyst].[All]" allUniqueName="[Table1].[assigned_analyst].[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cket_id]" caption="Count of ticket_id"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Hour]" caption="Sum of Hour"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rnima Konduru" refreshedDate="46100.998659490739" backgroundQuery="1" createdVersion="8" refreshedVersion="8" minRefreshableVersion="3" recordCount="0" supportSubquery="1" supportAdvancedDrill="1" xr:uid="{930BD2BA-F09F-4639-8D4A-A7A524309F9B}">
  <cacheSource type="external" connectionId="1"/>
  <cacheFields count="2">
    <cacheField name="[Measures].[Count of ticket_id]" caption="Count of ticket_id" numFmtId="0" hierarchy="20" level="32767"/>
    <cacheField name="[Table1].[Month].[Month]" caption="Month" numFmtId="0" hierarchy="9" level="1">
      <sharedItems count="4">
        <s v="Aug"/>
        <s v="Jul"/>
        <s v="Jun"/>
        <s v="Sep"/>
      </sharedItems>
    </cacheField>
  </cacheFields>
  <cacheHierarchies count="22">
    <cacheHierarchy uniqueName="[Table1].[Ticket_ID1]" caption="Ticket_ID1" attribute="1" defaultMemberUniqueName="[Table1].[Ticket_ID1].[All]" allUniqueName="[Table1].[Ticket_ID1].[All]" dimensionUniqueName="[Table1]" displayFolder="" count="0" memberValueDatatype="130" unbalanced="0"/>
    <cacheHierarchy uniqueName="[Table1].[Submission_Date1]" caption="Submission_Date1" attribute="1" time="1" defaultMemberUniqueName="[Table1].[Submission_Date1].[All]" allUniqueName="[Table1].[Submission_Date1].[All]" dimensionUniqueName="[Table1]" displayFolder="" count="0" memberValueDatatype="7" unbalanced="0"/>
    <cacheHierarchy uniqueName="[Table1].[Resolution_Date1]" caption="Resolution_Date1" attribute="1" time="1" defaultMemberUniqueName="[Table1].[Resolution_Date1].[All]" allUniqueName="[Table1].[Resolution_Date1].[All]" dimensionUniqueName="[Table1]" displayFolder="" count="0" memberValueDatatype="7" unbalanced="0"/>
    <cacheHierarchy uniqueName="[Table1].[Category1]" caption="Category1" attribute="1" defaultMemberUniqueName="[Table1].[Category1].[All]" allUniqueName="[Table1].[Category1].[All]" dimensionUniqueName="[Table1]" displayFolder="" count="0" memberValueDatatype="130" unbalanced="0"/>
    <cacheHierarchy uniqueName="[Table1].[Assigned_Analyst1]" caption="Assigned_Analyst1" attribute="1" defaultMemberUniqueName="[Table1].[Assigned_Analyst1].[All]" allUniqueName="[Table1].[Assigned_Analyst1].[All]" dimensionUniqueName="[Table1]" displayFolder="" count="0" memberValueDatatype="130" unbalanced="0"/>
    <cacheHierarchy uniqueName="[Table1].[Description1]" caption="Description1" attribute="1" defaultMemberUniqueName="[Table1].[Description1].[All]" allUniqueName="[Table1].[Description1].[All]" dimensionUniqueName="[Table1]" displayFolder="" count="0" memberValueDatatype="130" unbalanced="0"/>
    <cacheHierarchy uniqueName="[Table1].[Priority1]" caption="Priority1" attribute="1" defaultMemberUniqueName="[Table1].[Priority1].[All]" allUniqueName="[Table1].[Priority1].[All]" dimensionUniqueName="[Table1]" displayFolder="" count="0" memberValueDatatype="130" unbalanced="0"/>
    <cacheHierarchy uniqueName="[Table1].[Resultion Time]" caption="Resultion Time" attribute="1" time="1" defaultMemberUniqueName="[Table1].[Resultion Time].[All]" allUniqueName="[Table1].[Resultion Time].[All]" dimensionUniqueName="[Table1]" displayFolder="" count="0" memberValueDatatype="7" unbalanced="0"/>
    <cacheHierarchy uniqueName="[Table1].[Week]" caption="Week" attribute="1" defaultMemberUniqueName="[Table1].[Week].[All]" allUniqueName="[Table1].[Week].[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Hour]" caption="Hour" attribute="1" defaultMemberUniqueName="[Table1].[Hour].[All]" allUniqueName="[Table1].[Hour].[All]" dimensionUniqueName="[Table1]" displayFolder="" count="0" memberValueDatatype="20" unbalanced="0"/>
    <cacheHierarchy uniqueName="[Table1].[ticket_id]" caption="ticket_id" attribute="1" defaultMemberUniqueName="[Table1].[ticket_id].[All]" allUniqueName="[Table1].[ticket_id].[All]" dimensionUniqueName="[Table1]" displayFolder="" count="0" memberValueDatatype="130" unbalanced="0"/>
    <cacheHierarchy uniqueName="[Table1].[submission_date]" caption="submission_date" attribute="1" time="1" defaultMemberUniqueName="[Table1].[submission_date].[All]" allUniqueName="[Table1].[submission_date].[All]" dimensionUniqueName="[Table1]" displayFolder="" count="0" memberValueDatatype="7" unbalanced="0"/>
    <cacheHierarchy uniqueName="[Table1].[resolution_date]" caption="resolution_date" attribute="1" time="1" defaultMemberUniqueName="[Table1].[resolution_date].[All]" allUniqueName="[Table1].[resolution_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assigned_analyst]" caption="assigned_analyst" attribute="1" defaultMemberUniqueName="[Table1].[assigned_analyst].[All]" allUniqueName="[Table1].[assigned_analyst].[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icket_id]" caption="Count of ticket_id"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Hour]" caption="Sum of Hour"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Konduru" refreshedDate="46100.998659606485" createdVersion="8" refreshedVersion="8" minRefreshableVersion="3" recordCount="150" xr:uid="{CC971723-9219-4D2D-B608-593063ECA2D5}">
  <cacheSource type="worksheet">
    <worksheetSource name="Table1"/>
  </cacheSource>
  <cacheFields count="11">
    <cacheField name="Ticket_ID" numFmtId="0">
      <sharedItems/>
    </cacheField>
    <cacheField name="Submission_Date" numFmtId="22">
      <sharedItems containsSemiMixedTypes="0" containsNonDate="0" containsDate="1" containsString="0" minDate="2025-06-18T07:42:24" maxDate="2025-09-15T13:02:57"/>
    </cacheField>
    <cacheField name="Resolution_Date" numFmtId="22">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ultion Time" numFmtId="164">
      <sharedItems containsSemiMixedTypes="0" containsNonDate="0" containsDate="1" containsString="0" minDate="1899-12-31T12:52:24" maxDate="1900-06-15T14:19:12" count="150">
        <d v="1900-01-04T04:10:00"/>
        <d v="1900-02-03T20:02:48"/>
        <d v="1900-02-06T07:25:36"/>
        <d v="1900-01-06T20:18:00"/>
        <d v="1900-01-08T02:47:12"/>
        <d v="1900-05-12T08:00:48"/>
        <d v="1900-01-26T13:25:12"/>
        <d v="1900-04-17T17:08:24"/>
        <d v="1900-01-16T09:17:36"/>
        <d v="1900-01-28T03:37:36"/>
        <d v="1900-05-26T03:23:36"/>
        <d v="1900-01-02T20:05:36"/>
        <d v="1900-01-16T02:45:36"/>
        <d v="1900-04-11T18:20:00"/>
        <d v="1900-01-01T15:25:36"/>
        <d v="1900-01-01T18:20:00"/>
        <d v="1900-04-25T10:43:12"/>
        <d v="1900-02-19T22:02:00"/>
        <d v="1900-03-24T18:08:24"/>
        <d v="1900-02-08T12:33:36"/>
        <d v="1900-02-04T06:48:48"/>
        <d v="1900-02-13T20:06:00"/>
        <d v="1900-01-16T01:47:12"/>
        <d v="1900-02-07T22:20:48"/>
        <d v="1900-04-11T01:59:12"/>
        <d v="1900-02-05T21:15:36"/>
        <d v="1900-01-10T19:12:24"/>
        <d v="1900-02-13T18:27:36"/>
        <d v="1900-02-10T21:44:24"/>
        <d v="1900-01-31T16:41:36"/>
        <d v="1900-05-29T08:26:48"/>
        <d v="1900-01-06T14:32:24"/>
        <d v="1900-05-11T11:59:36"/>
        <d v="1900-05-08T22:17:36"/>
        <d v="1900-05-25T14:53:12"/>
        <d v="1900-01-24T19:29:36"/>
        <d v="1900-04-02T12:57:12"/>
        <d v="1900-05-28T04:17:12"/>
        <d v="1900-01-09T09:08:48"/>
        <d v="1900-01-11T05:40:48"/>
        <d v="1900-02-09T03:55:12"/>
        <d v="1900-01-23T22:27:36"/>
        <d v="1900-06-02T07:13:12"/>
        <d v="1899-12-31T12:52:24"/>
        <d v="1900-01-03T03:08:24"/>
        <d v="1900-01-10T09:13:12"/>
        <d v="1900-02-13T23:33:12"/>
        <d v="1900-04-26T13:27:12"/>
        <d v="1900-01-11T10:52:24"/>
        <d v="1900-01-25T16:34:48"/>
        <d v="1900-04-19T18:52:48"/>
        <d v="1900-05-28T13:21:12"/>
        <d v="1900-01-14T02:22:24"/>
        <d v="1900-01-12T04:44:24"/>
        <d v="1900-01-09T01:13:36"/>
        <d v="1900-02-08T16:24:00"/>
        <d v="1900-01-29T14:32:24"/>
        <d v="1900-06-14T07:45:12"/>
        <d v="1900-02-09T13:30:24"/>
        <d v="1900-01-30T16:06:24"/>
        <d v="1900-01-23T17:40:48"/>
        <d v="1900-02-05T17:32:24"/>
        <d v="1900-01-22T16:49:12"/>
        <d v="1900-01-06T23:23:12"/>
        <d v="1900-01-07T01:29:12"/>
        <d v="1900-01-13T17:44:00"/>
        <d v="1900-05-12T17:24:00"/>
        <d v="1900-02-02T17:52:24"/>
        <d v="1900-03-18T12:03:36"/>
        <d v="1900-01-23T02:36:48"/>
        <d v="1900-01-02T05:13:12"/>
        <d v="1900-01-19T01:11:36"/>
        <d v="1900-02-05T20:02:48"/>
        <d v="1900-01-07T02:38:24"/>
        <d v="1900-05-23T00:44:00"/>
        <d v="1900-01-06T21:05:36"/>
        <d v="1900-01-02T15:55:36"/>
        <d v="1900-01-05T23:04:00"/>
        <d v="1900-03-03T12:15:36"/>
        <d v="1900-04-04T03:56:24"/>
        <d v="1900-05-28T19:37:12"/>
        <d v="1900-04-14T03:57:12"/>
        <d v="1900-02-13T01:32:24"/>
        <d v="1900-02-27T14:49:12"/>
        <d v="1900-04-19T04:39:36"/>
        <d v="1900-01-07T17:50:24"/>
        <d v="1900-02-03T07:24:48"/>
        <d v="1900-01-19T00:15:36"/>
        <d v="1900-01-30T13:19:36"/>
        <d v="1900-05-24T00:18:24"/>
        <d v="1900-01-17T07:05:12"/>
        <d v="1900-05-29T12:55:12"/>
        <d v="1900-02-14T09:22:48"/>
        <d v="1900-03-21T16:27:36"/>
        <d v="1900-04-14T14:37:12"/>
        <d v="1900-01-27T00:44:24"/>
        <d v="1900-02-11T17:50:00"/>
        <d v="1900-06-08T05:04:00"/>
        <d v="1900-01-02T01:28:48"/>
        <d v="1900-01-07T19:28:24"/>
        <d v="1900-01-01T01:38:24"/>
        <d v="1900-02-09T14:31:36"/>
        <d v="1900-01-25T12:33:12"/>
        <d v="1900-01-10T09:28:48"/>
        <d v="1900-01-03T06:58:24"/>
        <d v="1900-02-25T22:31:12"/>
        <d v="1900-01-29T04:38:00"/>
        <d v="1900-03-05T06:47:36"/>
        <d v="1900-01-03T23:29:36"/>
        <d v="1900-06-14T00:08:48"/>
        <d v="1900-01-05T15:46:48"/>
        <d v="1900-06-15T04:06:48"/>
        <d v="1900-04-25T15:30:00"/>
        <d v="1900-01-01T04:42:48"/>
        <d v="1900-01-13T11:17:12"/>
        <d v="1900-04-22T19:24:24"/>
        <d v="1900-01-31T08:24:48"/>
        <d v="1900-02-11T15:29:12"/>
        <d v="1900-06-06T07:01:36"/>
        <d v="1900-01-17T19:53:12"/>
        <d v="1900-01-17T09:12:24"/>
        <d v="1900-01-13T09:17:12"/>
        <d v="1900-01-17T13:48:24"/>
        <d v="1900-02-09T22:00:48"/>
        <d v="1900-01-11T17:01:36"/>
        <d v="1900-01-16T17:21:36"/>
        <d v="1900-04-03T16:47:36"/>
        <d v="1900-04-15T00:05:12"/>
        <d v="1900-01-07T06:35:36"/>
        <d v="1900-02-14T15:30:24"/>
        <d v="1900-02-11T17:09:36"/>
        <d v="1900-04-01T20:14:48"/>
        <d v="1900-03-23T11:00:48"/>
        <d v="1900-01-08T23:11:36"/>
        <d v="1900-06-15T14:19:12"/>
        <d v="1900-04-23T19:35:12"/>
        <d v="1900-03-17T22:50:24"/>
        <d v="1900-02-06T00:54:24"/>
        <d v="1900-01-22T07:21:36"/>
        <d v="1900-05-18T18:20:00"/>
        <d v="1900-01-13T21:03:36"/>
        <d v="1900-01-11T20:50:48"/>
        <d v="1900-01-28T05:36:00"/>
        <d v="1900-03-28T00:02:24"/>
        <d v="1900-01-11T05:30:24"/>
        <d v="1900-01-01T00:14:00"/>
        <d v="1900-01-06T20:22:48"/>
        <d v="1900-03-24T01:46:48"/>
        <d v="1900-01-25T11:11:12"/>
        <d v="1900-01-23T00:18:24"/>
      </sharedItems>
    </cacheField>
    <cacheField name="Week" numFmtId="0">
      <sharedItems count="7">
        <s v="Friday"/>
        <s v="Monday"/>
        <s v="Thursday"/>
        <s v="Wednesday"/>
        <s v="Saturday"/>
        <s v="Tuesday"/>
        <s v="Sunday"/>
      </sharedItems>
    </cacheField>
    <cacheField name="Month" numFmtId="0">
      <sharedItems count="4">
        <s v="Jun"/>
        <s v="Sep"/>
        <s v="Jul"/>
        <s v="Aug"/>
      </sharedItems>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1457455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ICKET-1000"/>
    <d v="2025-06-27T22:36:16"/>
    <d v="2025-06-28T03:46:41"/>
    <x v="0"/>
    <x v="0"/>
    <s v="Dream part subject until full. Brother century suddenly above. Six eight benefit animal move best."/>
    <x v="0"/>
    <x v="0"/>
    <x v="0"/>
    <x v="0"/>
    <n v="22"/>
  </r>
  <r>
    <s v="TICKET-1001"/>
    <d v="2025-09-01T19:27:59"/>
    <d v="2025-09-03T07:18:06"/>
    <x v="1"/>
    <x v="1"/>
    <s v="Application X is crashing every time I open it. Lead how phone also score player later blue."/>
    <x v="1"/>
    <x v="1"/>
    <x v="1"/>
    <x v="1"/>
    <n v="19"/>
  </r>
  <r>
    <s v="TICKET-1002"/>
    <d v="2025-09-04T09:32:03"/>
    <d v="2025-09-05T23:50:37"/>
    <x v="0"/>
    <x v="2"/>
    <s v="Black attack cold would page. Reality she war a chance. Physical hour Mr item red agreement for."/>
    <x v="1"/>
    <x v="2"/>
    <x v="2"/>
    <x v="1"/>
    <n v="9"/>
  </r>
  <r>
    <s v="TICKET-1003"/>
    <d v="2025-07-28T17:47:34"/>
    <d v="2025-07-29T01:38:19"/>
    <x v="2"/>
    <x v="3"/>
    <s v="My laptop's keyboard isn't working properly, some keys are stuck. Tree culture above effort more national whether."/>
    <x v="0"/>
    <x v="3"/>
    <x v="1"/>
    <x v="2"/>
    <n v="17"/>
  </r>
  <r>
    <s v="TICKET-1004"/>
    <d v="2025-09-03T21:46:09"/>
    <d v="2025-09-04T06:53:07"/>
    <x v="1"/>
    <x v="4"/>
    <s v="Application X is crashing every time I open it. Order wrong fight foreign bad house pick."/>
    <x v="0"/>
    <x v="4"/>
    <x v="3"/>
    <x v="1"/>
    <n v="21"/>
  </r>
  <r>
    <s v="TICKET-1005"/>
    <d v="2025-08-04T20:32:40"/>
    <d v="2025-08-10T09:52:42"/>
    <x v="1"/>
    <x v="2"/>
    <s v="Application X is crashing every time I open it. Sport should network realize relate very voice."/>
    <x v="2"/>
    <x v="5"/>
    <x v="1"/>
    <x v="3"/>
    <n v="20"/>
  </r>
  <r>
    <s v="TICKET-1006"/>
    <d v="2025-08-22T10:38:16"/>
    <d v="2025-08-23T14:11:49"/>
    <x v="3"/>
    <x v="5"/>
    <s v="I'm locked out of my account and can't reset my password. If rather year suffer wrong."/>
    <x v="2"/>
    <x v="6"/>
    <x v="0"/>
    <x v="3"/>
    <n v="10"/>
  </r>
  <r>
    <s v="TICKET-1007"/>
    <d v="2025-07-05T07:43:28"/>
    <d v="2025-07-09T20:26:19"/>
    <x v="1"/>
    <x v="6"/>
    <s v="Application X is crashing every time I open it. Here bill leg region training. Grow new may."/>
    <x v="2"/>
    <x v="7"/>
    <x v="4"/>
    <x v="2"/>
    <n v="7"/>
  </r>
  <r>
    <s v="TICKET-1008"/>
    <d v="2025-07-07T16:41:14"/>
    <d v="2025-07-08T10:04:28"/>
    <x v="2"/>
    <x v="6"/>
    <s v="My laptop's keyboard isn't working properly, some keys are stuck. Common maintain theory involve ok detail."/>
    <x v="1"/>
    <x v="8"/>
    <x v="1"/>
    <x v="2"/>
    <n v="16"/>
  </r>
  <r>
    <s v="TICKET-1009"/>
    <d v="2025-09-10T14:49:33"/>
    <d v="2025-09-11T19:58:37"/>
    <x v="1"/>
    <x v="2"/>
    <s v="Application X is crashing every time I open it. Responsibility again recently traditional word."/>
    <x v="1"/>
    <x v="9"/>
    <x v="3"/>
    <x v="1"/>
    <n v="14"/>
  </r>
  <r>
    <s v="TICKET-1010"/>
    <d v="2025-08-27T13:20:02"/>
    <d v="2025-09-02T16:28:31"/>
    <x v="1"/>
    <x v="7"/>
    <s v="Application X is crashing every time I open it. Structure this woman born."/>
    <x v="2"/>
    <x v="10"/>
    <x v="3"/>
    <x v="3"/>
    <n v="13"/>
  </r>
  <r>
    <s v="TICKET-1011"/>
    <d v="2025-06-24T01:56:19"/>
    <d v="2025-06-24T05:46:33"/>
    <x v="4"/>
    <x v="8"/>
    <s v="Can't connect to the Wi-Fi. It's showing 'No internet access'. Maintain without college strong few not week."/>
    <x v="0"/>
    <x v="11"/>
    <x v="5"/>
    <x v="0"/>
    <n v="1"/>
  </r>
  <r>
    <s v="TICKET-1012"/>
    <d v="2025-06-28T09:51:47"/>
    <d v="2025-06-29T02:58:41"/>
    <x v="4"/>
    <x v="0"/>
    <s v="Can't connect to the Wi-Fi. It's showing 'No internet access'. Official human task door century energy Mr."/>
    <x v="1"/>
    <x v="12"/>
    <x v="4"/>
    <x v="0"/>
    <n v="9"/>
  </r>
  <r>
    <s v="TICKET-1013"/>
    <d v="2025-07-22T09:08:54"/>
    <d v="2025-07-26T15:54:44"/>
    <x v="1"/>
    <x v="6"/>
    <s v="Application X is crashing every time I open it. Spring operation performance glass choice kind."/>
    <x v="2"/>
    <x v="13"/>
    <x v="5"/>
    <x v="2"/>
    <n v="9"/>
  </r>
  <r>
    <s v="TICKET-1014"/>
    <d v="2025-07-09T22:32:58"/>
    <d v="2025-07-10T01:11:32"/>
    <x v="1"/>
    <x v="1"/>
    <s v="Application X is crashing every time I open it. Summer yard maintain fire ask eight."/>
    <x v="0"/>
    <x v="14"/>
    <x v="3"/>
    <x v="2"/>
    <n v="22"/>
  </r>
  <r>
    <s v="TICKET-1015"/>
    <d v="2025-07-23T22:34:11"/>
    <d v="2025-07-24T01:20:01"/>
    <x v="1"/>
    <x v="9"/>
    <s v="Application X is crashing every time I open it. Least check between event. Can brother two form."/>
    <x v="0"/>
    <x v="15"/>
    <x v="3"/>
    <x v="2"/>
    <n v="22"/>
  </r>
  <r>
    <s v="TICKET-1016"/>
    <d v="2025-08-06T11:52:05"/>
    <d v="2025-08-11T08:18:53"/>
    <x v="1"/>
    <x v="6"/>
    <s v="Application X is crashing every time I open it. Resource in affect charge customer accept dream."/>
    <x v="2"/>
    <x v="16"/>
    <x v="3"/>
    <x v="3"/>
    <n v="11"/>
  </r>
  <r>
    <s v="TICKET-1017"/>
    <d v="2025-06-30T16:42:14"/>
    <d v="2025-07-02T20:37:19"/>
    <x v="5"/>
    <x v="0"/>
    <s v="Thought national word picture each deep."/>
    <x v="2"/>
    <x v="17"/>
    <x v="1"/>
    <x v="0"/>
    <n v="16"/>
  </r>
  <r>
    <s v="TICKET-1018"/>
    <d v="2025-06-30T23:03:04"/>
    <d v="2025-07-04T11:48:25"/>
    <x v="4"/>
    <x v="3"/>
    <s v="Can't connect to the Wi-Fi. It's showing 'No internet access'. Card series research else cup though artist."/>
    <x v="2"/>
    <x v="18"/>
    <x v="1"/>
    <x v="0"/>
    <n v="23"/>
  </r>
  <r>
    <s v="TICKET-1019"/>
    <d v="2025-07-03T07:27:15"/>
    <d v="2025-07-04T23:58:39"/>
    <x v="2"/>
    <x v="3"/>
    <s v="My laptop's keyboard isn't working properly, some keys are stuck. Young up grow after offer east region would."/>
    <x v="1"/>
    <x v="19"/>
    <x v="2"/>
    <x v="2"/>
    <n v="7"/>
  </r>
  <r>
    <s v="TICKET-1020"/>
    <d v="2025-06-23T22:49:38"/>
    <d v="2025-06-25T11:06:40"/>
    <x v="1"/>
    <x v="1"/>
    <s v="Application X is crashing every time I open it. Nice then management."/>
    <x v="1"/>
    <x v="20"/>
    <x v="1"/>
    <x v="0"/>
    <n v="22"/>
  </r>
  <r>
    <s v="TICKET-1021"/>
    <d v="2025-07-08T11:34:57"/>
    <d v="2025-07-10T09:25:12"/>
    <x v="1"/>
    <x v="0"/>
    <s v="Application X is crashing every time I open it. Water act involve follow hot."/>
    <x v="1"/>
    <x v="21"/>
    <x v="5"/>
    <x v="2"/>
    <n v="11"/>
  </r>
  <r>
    <s v="TICKET-1022"/>
    <d v="2025-06-22T23:29:46"/>
    <d v="2025-06-23T16:34:14"/>
    <x v="1"/>
    <x v="7"/>
    <s v="Application X is crashing every time I open it. Another such apply table let."/>
    <x v="1"/>
    <x v="22"/>
    <x v="6"/>
    <x v="0"/>
    <n v="23"/>
  </r>
  <r>
    <s v="TICKET-1023"/>
    <d v="2025-08-29T12:27:53"/>
    <d v="2025-08-31T04:23:45"/>
    <x v="1"/>
    <x v="4"/>
    <s v="Application X is crashing every time I open it. Senior per draw day mention sea quickly."/>
    <x v="1"/>
    <x v="23"/>
    <x v="0"/>
    <x v="3"/>
    <n v="12"/>
  </r>
  <r>
    <s v="TICKET-1024"/>
    <d v="2025-07-12T03:37:37"/>
    <d v="2025-07-16T09:42:35"/>
    <x v="4"/>
    <x v="3"/>
    <s v="Can't connect to the Wi-Fi. It's showing 'No internet access'. Race Republican expect east might collection."/>
    <x v="2"/>
    <x v="24"/>
    <x v="4"/>
    <x v="2"/>
    <n v="3"/>
  </r>
  <r>
    <s v="TICKET-1025"/>
    <d v="2025-07-13T05:42:50"/>
    <d v="2025-07-14T19:35:59"/>
    <x v="1"/>
    <x v="1"/>
    <s v="Application X is crashing every time I open it. Total maintain service writer."/>
    <x v="1"/>
    <x v="25"/>
    <x v="6"/>
    <x v="2"/>
    <n v="5"/>
  </r>
  <r>
    <s v="TICKET-1026"/>
    <d v="2025-06-24T00:26:51"/>
    <d v="2025-06-24T12:14:52"/>
    <x v="4"/>
    <x v="4"/>
    <s v="Can't connect to the Wi-Fi. It's showing 'No internet access'. Individual herself decide generation."/>
    <x v="0"/>
    <x v="26"/>
    <x v="5"/>
    <x v="0"/>
    <n v="0"/>
  </r>
  <r>
    <s v="TICKET-1027"/>
    <d v="2025-07-03T19:29:05"/>
    <d v="2025-07-05T17:15:14"/>
    <x v="6"/>
    <x v="1"/>
    <s v="Yourself floor foot character choose. Brother prepare but film key name."/>
    <x v="1"/>
    <x v="27"/>
    <x v="2"/>
    <x v="2"/>
    <n v="19"/>
  </r>
  <r>
    <s v="TICKET-1028"/>
    <d v="2025-09-15T13:02:57"/>
    <d v="2025-09-17T07:57:18"/>
    <x v="0"/>
    <x v="0"/>
    <s v="Successful radio play network yet. Fill director direction ready white."/>
    <x v="2"/>
    <x v="28"/>
    <x v="1"/>
    <x v="1"/>
    <n v="13"/>
  </r>
  <r>
    <s v="TICKET-1029"/>
    <d v="2025-08-27T21:57:13"/>
    <d v="2025-08-29T06:38:57"/>
    <x v="1"/>
    <x v="2"/>
    <s v="Application X is crashing every time I open it. Southern beat general first much hotel agency."/>
    <x v="1"/>
    <x v="29"/>
    <x v="3"/>
    <x v="3"/>
    <n v="21"/>
  </r>
  <r>
    <s v="TICKET-1030"/>
    <d v="2025-08-30T20:17:04"/>
    <d v="2025-09-06T02:38:11"/>
    <x v="4"/>
    <x v="2"/>
    <s v="Can't connect to the Wi-Fi. It's showing 'No internet access'. Cup government by life reduce each customer."/>
    <x v="2"/>
    <x v="30"/>
    <x v="4"/>
    <x v="3"/>
    <n v="20"/>
  </r>
  <r>
    <s v="TICKET-1031"/>
    <d v="2025-08-24T23:58:58"/>
    <d v="2025-08-25T07:35:19"/>
    <x v="1"/>
    <x v="1"/>
    <s v="Application X is crashing every time I open it. Market growth film."/>
    <x v="0"/>
    <x v="31"/>
    <x v="6"/>
    <x v="3"/>
    <n v="23"/>
  </r>
  <r>
    <s v="TICKET-1032"/>
    <d v="2025-07-11T18:10:39"/>
    <d v="2025-07-17T06:40:38"/>
    <x v="4"/>
    <x v="6"/>
    <s v="Can't connect to the Wi-Fi. It's showing 'No internet access'. Could north state feel others participant."/>
    <x v="2"/>
    <x v="32"/>
    <x v="0"/>
    <x v="2"/>
    <n v="18"/>
  </r>
  <r>
    <s v="TICKET-1033"/>
    <d v="2025-09-04T19:33:03"/>
    <d v="2025-09-10T05:28:47"/>
    <x v="6"/>
    <x v="5"/>
    <s v="Follow chair add finally these plan staff. Across shoulder school free."/>
    <x v="2"/>
    <x v="33"/>
    <x v="2"/>
    <x v="1"/>
    <n v="19"/>
  </r>
  <r>
    <s v="TICKET-1034"/>
    <d v="2025-08-24T17:06:08"/>
    <d v="2025-08-30T19:43:21"/>
    <x v="1"/>
    <x v="4"/>
    <s v="Application X is crashing every time I open it. Bag half join treat water by affect."/>
    <x v="2"/>
    <x v="34"/>
    <x v="6"/>
    <x v="3"/>
    <n v="17"/>
  </r>
  <r>
    <s v="TICKET-1035"/>
    <d v="2025-06-30T17:48:03"/>
    <d v="2025-07-01T19:36:47"/>
    <x v="2"/>
    <x v="1"/>
    <s v="My laptop's keyboard isn't working properly, some keys are stuck. Science bad news pressure anything probably save."/>
    <x v="2"/>
    <x v="35"/>
    <x v="1"/>
    <x v="0"/>
    <n v="17"/>
  </r>
  <r>
    <s v="TICKET-1036"/>
    <d v="2025-09-09T08:46:26"/>
    <d v="2025-09-13T06:18:49"/>
    <x v="1"/>
    <x v="8"/>
    <s v="Application X is crashing every time I open it. Fund project find law identify close worker."/>
    <x v="2"/>
    <x v="36"/>
    <x v="5"/>
    <x v="1"/>
    <n v="8"/>
  </r>
  <r>
    <s v="TICKET-1037"/>
    <d v="2025-08-11T10:56:36"/>
    <d v="2025-08-17T16:07:19"/>
    <x v="0"/>
    <x v="7"/>
    <s v="Rate play media air. Trade thank hundred choice reduce remember possible us."/>
    <x v="2"/>
    <x v="37"/>
    <x v="1"/>
    <x v="3"/>
    <n v="10"/>
  </r>
  <r>
    <s v="TICKET-1038"/>
    <d v="2025-09-01T16:20:12"/>
    <d v="2025-09-02T02:43:04"/>
    <x v="1"/>
    <x v="5"/>
    <s v="Application X is crashing every time I open it. Effort avoid door shoulder cut."/>
    <x v="1"/>
    <x v="38"/>
    <x v="1"/>
    <x v="1"/>
    <n v="16"/>
  </r>
  <r>
    <s v="TICKET-1039"/>
    <d v="2025-08-14T20:30:07"/>
    <d v="2025-08-15T08:44:19"/>
    <x v="3"/>
    <x v="6"/>
    <s v="I'm locked out of my account and can't reset my password. Point fine stop radio chair tree career scene."/>
    <x v="1"/>
    <x v="39"/>
    <x v="2"/>
    <x v="3"/>
    <n v="20"/>
  </r>
  <r>
    <s v="TICKET-1040"/>
    <d v="2025-09-05T05:49:39"/>
    <d v="2025-09-06T22:59:27"/>
    <x v="4"/>
    <x v="0"/>
    <s v="Can't connect to the Wi-Fi. It's showing 'No internet access'. Simple practice operation move put."/>
    <x v="1"/>
    <x v="40"/>
    <x v="0"/>
    <x v="1"/>
    <n v="5"/>
  </r>
  <r>
    <s v="TICKET-1041"/>
    <d v="2025-09-13T18:26:30"/>
    <d v="2025-09-14T19:22:39"/>
    <x v="2"/>
    <x v="1"/>
    <s v="My laptop's keyboard isn't working properly, some keys are stuck. Firm discuss audience say amount."/>
    <x v="2"/>
    <x v="41"/>
    <x v="4"/>
    <x v="1"/>
    <n v="18"/>
  </r>
  <r>
    <s v="TICKET-1042"/>
    <d v="2025-07-28T00:42:24"/>
    <d v="2025-08-03T11:00:27"/>
    <x v="6"/>
    <x v="9"/>
    <s v="Physical business information._x000a_Activity else house another. Still protect admit answer."/>
    <x v="2"/>
    <x v="42"/>
    <x v="1"/>
    <x v="2"/>
    <n v="0"/>
  </r>
  <r>
    <s v="TICKET-1043"/>
    <d v="2025-07-30T21:37:33"/>
    <d v="2025-07-30T23:09:44"/>
    <x v="1"/>
    <x v="6"/>
    <s v="Application X is crashing every time I open it. Anything despite not."/>
    <x v="3"/>
    <x v="43"/>
    <x v="3"/>
    <x v="2"/>
    <n v="21"/>
  </r>
  <r>
    <s v="TICKET-1044"/>
    <d v="2025-08-03T03:02:33"/>
    <d v="2025-08-03T07:10:24"/>
    <x v="2"/>
    <x v="5"/>
    <s v="My laptop's keyboard isn't working properly, some keys are stuck. Film answer tax different carry represent."/>
    <x v="0"/>
    <x v="44"/>
    <x v="6"/>
    <x v="3"/>
    <n v="3"/>
  </r>
  <r>
    <s v="TICKET-1045"/>
    <d v="2025-07-05T09:41:54"/>
    <d v="2025-07-05T21:04:57"/>
    <x v="1"/>
    <x v="1"/>
    <s v="Application X is crashing every time I open it. American computer let go event."/>
    <x v="0"/>
    <x v="45"/>
    <x v="4"/>
    <x v="2"/>
    <n v="9"/>
  </r>
  <r>
    <s v="TICKET-1046"/>
    <d v="2025-08-30T13:43:06"/>
    <d v="2025-09-01T11:41:59"/>
    <x v="4"/>
    <x v="4"/>
    <s v="Can't connect to the Wi-Fi. It's showing 'No internet access'. Build oil wait community less happen."/>
    <x v="1"/>
    <x v="46"/>
    <x v="4"/>
    <x v="3"/>
    <n v="13"/>
  </r>
  <r>
    <s v="TICKET-1047"/>
    <d v="2025-06-22T15:23:41"/>
    <d v="2025-06-27T12:57:19"/>
    <x v="3"/>
    <x v="1"/>
    <s v="I'm locked out of my account and can't reset my password. Decide stuff agree national politics current son."/>
    <x v="2"/>
    <x v="47"/>
    <x v="6"/>
    <x v="0"/>
    <n v="15"/>
  </r>
  <r>
    <s v="TICKET-1048"/>
    <d v="2025-07-03T03:12:43"/>
    <d v="2025-07-03T15:39:54"/>
    <x v="4"/>
    <x v="1"/>
    <s v="Can't connect to the Wi-Fi. It's showing 'No internet access'. Phone interview worker could."/>
    <x v="1"/>
    <x v="48"/>
    <x v="2"/>
    <x v="2"/>
    <n v="3"/>
  </r>
  <r>
    <s v="TICKET-1049"/>
    <d v="2025-08-09T17:51:19"/>
    <d v="2025-08-10T20:32:46"/>
    <x v="4"/>
    <x v="1"/>
    <s v="Can't connect to the Wi-Fi. It's showing 'No internet access'. Together life least mission."/>
    <x v="1"/>
    <x v="49"/>
    <x v="4"/>
    <x v="3"/>
    <n v="17"/>
  </r>
  <r>
    <s v="TICKET-1050"/>
    <d v="2025-07-23T08:22:42"/>
    <d v="2025-07-27T23:09:54"/>
    <x v="0"/>
    <x v="3"/>
    <s v="If forget newspaper behavior note put. Almost affect entire. Trial set capital real."/>
    <x v="2"/>
    <x v="50"/>
    <x v="3"/>
    <x v="2"/>
    <n v="8"/>
  </r>
  <r>
    <s v="TICKET-1051"/>
    <d v="2025-07-31T19:51:43"/>
    <d v="2025-08-07T01:25:06"/>
    <x v="1"/>
    <x v="1"/>
    <s v="Application X is crashing every time I open it. My sound short."/>
    <x v="2"/>
    <x v="51"/>
    <x v="2"/>
    <x v="2"/>
    <n v="19"/>
  </r>
  <r>
    <s v="TICKET-1052"/>
    <d v="2025-06-29T02:21:50"/>
    <d v="2025-06-29T17:27:46"/>
    <x v="1"/>
    <x v="3"/>
    <s v="Application X is crashing every time I open it. Where culture site value set."/>
    <x v="1"/>
    <x v="52"/>
    <x v="6"/>
    <x v="0"/>
    <n v="2"/>
  </r>
  <r>
    <s v="TICKET-1053"/>
    <d v="2025-08-15T20:41:48"/>
    <d v="2025-08-16T09:53:39"/>
    <x v="1"/>
    <x v="1"/>
    <s v="Application X is crashing every time I open it. Go claim billion small experience old."/>
    <x v="1"/>
    <x v="53"/>
    <x v="0"/>
    <x v="3"/>
    <n v="20"/>
  </r>
  <r>
    <s v="TICKET-1054"/>
    <d v="2025-07-15T09:00:06"/>
    <d v="2025-07-15T19:03:10"/>
    <x v="4"/>
    <x v="2"/>
    <s v="Can't connect to the Wi-Fi. It's showing 'No internet access'. Option name including."/>
    <x v="0"/>
    <x v="54"/>
    <x v="5"/>
    <x v="2"/>
    <n v="9"/>
  </r>
  <r>
    <s v="TICKET-1055"/>
    <d v="2025-06-21T01:06:48"/>
    <d v="2025-06-22T17:47:48"/>
    <x v="3"/>
    <x v="1"/>
    <s v="I'm locked out of my account and can't reset my password. Idea enter expert decision something."/>
    <x v="1"/>
    <x v="55"/>
    <x v="4"/>
    <x v="0"/>
    <n v="1"/>
  </r>
  <r>
    <s v="TICKET-1056"/>
    <d v="2025-08-02T07:52:13"/>
    <d v="2025-08-03T14:28:34"/>
    <x v="0"/>
    <x v="3"/>
    <s v="Through culture similar finally. Oil world money about fine street small."/>
    <x v="1"/>
    <x v="56"/>
    <x v="4"/>
    <x v="3"/>
    <n v="7"/>
  </r>
  <r>
    <s v="TICKET-1057"/>
    <d v="2025-07-22T08:29:35"/>
    <d v="2025-07-29T06:48:58"/>
    <x v="5"/>
    <x v="6"/>
    <s v="Weight go sort sign law response since. Sister other actually Mrs fight everything get."/>
    <x v="2"/>
    <x v="57"/>
    <x v="5"/>
    <x v="2"/>
    <n v="8"/>
  </r>
  <r>
    <s v="TICKET-1058"/>
    <d v="2025-08-06T13:42:51"/>
    <d v="2025-08-08T07:16:37"/>
    <x v="0"/>
    <x v="6"/>
    <s v="Particular ask company nearly exist exactly friend."/>
    <x v="1"/>
    <x v="58"/>
    <x v="3"/>
    <x v="3"/>
    <n v="13"/>
  </r>
  <r>
    <s v="TICKET-1059"/>
    <d v="2025-06-19T06:37:43"/>
    <d v="2025-06-20T14:17:59"/>
    <x v="1"/>
    <x v="5"/>
    <s v="Application X is crashing every time I open it. Skin subject purpose baby training."/>
    <x v="1"/>
    <x v="59"/>
    <x v="2"/>
    <x v="0"/>
    <n v="6"/>
  </r>
  <r>
    <s v="TICKET-1060"/>
    <d v="2025-08-27T11:05:38"/>
    <d v="2025-08-28T11:49:50"/>
    <x v="2"/>
    <x v="3"/>
    <s v="My laptop's keyboard isn't working properly, some keys are stuck. Than none office improve."/>
    <x v="1"/>
    <x v="60"/>
    <x v="3"/>
    <x v="3"/>
    <n v="11"/>
  </r>
  <r>
    <s v="TICKET-1061"/>
    <d v="2025-09-10T20:19:38"/>
    <d v="2025-09-12T10:03:29"/>
    <x v="1"/>
    <x v="0"/>
    <s v="Application X is crashing every time I open it. With because article scene father black."/>
    <x v="1"/>
    <x v="61"/>
    <x v="3"/>
    <x v="1"/>
    <n v="20"/>
  </r>
  <r>
    <s v="TICKET-1062"/>
    <d v="2025-07-01T16:39:40"/>
    <d v="2025-07-02T16:21:43"/>
    <x v="1"/>
    <x v="7"/>
    <s v="Application X is crashing every time I open it. Food pass energy fund need read anything."/>
    <x v="1"/>
    <x v="62"/>
    <x v="5"/>
    <x v="2"/>
    <n v="16"/>
  </r>
  <r>
    <s v="TICKET-1063"/>
    <d v="2025-08-02T07:57:09"/>
    <d v="2025-08-02T15:55:37"/>
    <x v="3"/>
    <x v="7"/>
    <s v="I'm locked out of my account and can't reset my password. Agreement news significant cultural agree."/>
    <x v="0"/>
    <x v="63"/>
    <x v="4"/>
    <x v="3"/>
    <n v="7"/>
  </r>
  <r>
    <s v="TICKET-1064"/>
    <d v="2025-09-10T05:58:12"/>
    <d v="2025-09-10T14:01:55"/>
    <x v="3"/>
    <x v="4"/>
    <s v="I'm locked out of my account and can't reset my password. Especially under always tend teacher build."/>
    <x v="1"/>
    <x v="64"/>
    <x v="3"/>
    <x v="1"/>
    <n v="5"/>
  </r>
  <r>
    <s v="TICKET-1065"/>
    <d v="2025-08-17T19:11:16"/>
    <d v="2025-08-18T09:55:36"/>
    <x v="4"/>
    <x v="0"/>
    <s v="Can't connect to the Wi-Fi. It's showing 'No internet access'. Child as debate economy."/>
    <x v="1"/>
    <x v="65"/>
    <x v="6"/>
    <x v="3"/>
    <n v="19"/>
  </r>
  <r>
    <s v="TICKET-1066"/>
    <d v="2025-07-18T06:21:58"/>
    <d v="2025-07-23T20:05:28"/>
    <x v="2"/>
    <x v="2"/>
    <s v="My laptop's keyboard isn't working properly, some keys are stuck. Someone poor mission fill free."/>
    <x v="2"/>
    <x v="66"/>
    <x v="0"/>
    <x v="2"/>
    <n v="6"/>
  </r>
  <r>
    <s v="TICKET-1067"/>
    <d v="2025-07-06T02:18:19"/>
    <d v="2025-07-07T13:03:00"/>
    <x v="4"/>
    <x v="7"/>
    <s v="Can't connect to the Wi-Fi. It's showing 'No internet access'. Represent safe scene wall dog."/>
    <x v="1"/>
    <x v="67"/>
    <x v="6"/>
    <x v="2"/>
    <n v="2"/>
  </r>
  <r>
    <s v="TICKET-1068"/>
    <d v="2025-08-25T22:46:50"/>
    <d v="2025-08-29T05:16:59"/>
    <x v="1"/>
    <x v="5"/>
    <s v="Application X is crashing every time I open it. Claim success those baby."/>
    <x v="2"/>
    <x v="68"/>
    <x v="1"/>
    <x v="3"/>
    <n v="22"/>
  </r>
  <r>
    <s v="TICKET-1069"/>
    <d v="2025-09-07T00:30:29"/>
    <d v="2025-09-08T00:37:01"/>
    <x v="1"/>
    <x v="4"/>
    <s v="Application X is crashing every time I open it. Term lot their. Dark itself deal race Democrat."/>
    <x v="1"/>
    <x v="69"/>
    <x v="6"/>
    <x v="1"/>
    <n v="0"/>
  </r>
  <r>
    <s v="TICKET-1070"/>
    <d v="2025-07-21T21:58:21"/>
    <d v="2025-07-22T01:11:24"/>
    <x v="2"/>
    <x v="7"/>
    <s v="My laptop's keyboard isn't working properly, some keys are stuck. Bad past glass strategy. Above skin station."/>
    <x v="3"/>
    <x v="70"/>
    <x v="1"/>
    <x v="2"/>
    <n v="21"/>
  </r>
  <r>
    <s v="TICKET-1071"/>
    <d v="2025-07-24T12:55:27"/>
    <d v="2025-07-25T08:58:26"/>
    <x v="1"/>
    <x v="2"/>
    <s v="Application X is crashing every time I open it. Tv control generation away public remain."/>
    <x v="1"/>
    <x v="71"/>
    <x v="2"/>
    <x v="2"/>
    <n v="12"/>
  </r>
  <r>
    <s v="TICKET-1072"/>
    <d v="2025-06-18T07:42:24"/>
    <d v="2025-06-19T21:32:31"/>
    <x v="4"/>
    <x v="7"/>
    <s v="Can't connect to the Wi-Fi. It's showing 'No internet access'. Alone skill foot benefit."/>
    <x v="1"/>
    <x v="72"/>
    <x v="3"/>
    <x v="0"/>
    <n v="7"/>
  </r>
  <r>
    <s v="TICKET-1073"/>
    <d v="2025-09-03T02:34:13"/>
    <d v="2025-09-03T10:40:49"/>
    <x v="0"/>
    <x v="8"/>
    <s v="Media respond them indicate. Up movie television stop. Garden ten city already close."/>
    <x v="0"/>
    <x v="73"/>
    <x v="3"/>
    <x v="1"/>
    <n v="2"/>
  </r>
  <r>
    <s v="TICKET-1074"/>
    <d v="2025-08-08T23:17:56"/>
    <d v="2025-08-14T23:19:46"/>
    <x v="5"/>
    <x v="1"/>
    <s v="Lay support mouth control understand could. Husband for evening upon involve."/>
    <x v="2"/>
    <x v="74"/>
    <x v="0"/>
    <x v="3"/>
    <n v="23"/>
  </r>
  <r>
    <s v="TICKET-1075"/>
    <d v="2025-08-28T01:48:14"/>
    <d v="2025-08-28T09:40:58"/>
    <x v="0"/>
    <x v="7"/>
    <s v="Company month civil season include. Onto life for both little."/>
    <x v="0"/>
    <x v="75"/>
    <x v="2"/>
    <x v="3"/>
    <n v="1"/>
  </r>
  <r>
    <s v="TICKET-1076"/>
    <d v="2025-07-20T10:31:23"/>
    <d v="2025-07-20T14:11:12"/>
    <x v="1"/>
    <x v="1"/>
    <s v="Application X is crashing every time I open it. Candidate push mind exactly feel."/>
    <x v="0"/>
    <x v="76"/>
    <x v="6"/>
    <x v="2"/>
    <n v="10"/>
  </r>
  <r>
    <s v="TICKET-1077"/>
    <d v="2025-07-17T15:42:38"/>
    <d v="2025-07-17T22:40:18"/>
    <x v="5"/>
    <x v="5"/>
    <s v="Writer city suffer within important recently difference. Wait only relationship free."/>
    <x v="0"/>
    <x v="77"/>
    <x v="2"/>
    <x v="2"/>
    <n v="15"/>
  </r>
  <r>
    <s v="TICKET-1078"/>
    <d v="2025-07-23T19:59:04"/>
    <d v="2025-07-26T11:29:43"/>
    <x v="1"/>
    <x v="1"/>
    <s v="Application X is crashing every time I open it. Form customer bill interest remember which."/>
    <x v="2"/>
    <x v="78"/>
    <x v="3"/>
    <x v="2"/>
    <n v="19"/>
  </r>
  <r>
    <s v="TICKET-1079"/>
    <d v="2025-06-27T20:58:34"/>
    <d v="2025-07-01T20:08:25"/>
    <x v="4"/>
    <x v="1"/>
    <s v="Can't connect to the Wi-Fi. It's showing 'No internet access'. Agree begin guess ask choice low themselves born."/>
    <x v="2"/>
    <x v="79"/>
    <x v="0"/>
    <x v="0"/>
    <n v="20"/>
  </r>
  <r>
    <s v="TICKET-1080"/>
    <d v="2025-06-19T16:43:35"/>
    <d v="2025-06-25T22:32:38"/>
    <x v="1"/>
    <x v="6"/>
    <s v="Application X is crashing every time I open it. Center worry nor whole."/>
    <x v="2"/>
    <x v="80"/>
    <x v="2"/>
    <x v="0"/>
    <n v="16"/>
  </r>
  <r>
    <s v="TICKET-1081"/>
    <d v="2025-06-27T00:50:45"/>
    <d v="2025-07-01T10:00:38"/>
    <x v="3"/>
    <x v="3"/>
    <s v="I'm locked out of my account and can't reset my password. Miss son responsibility hour."/>
    <x v="2"/>
    <x v="81"/>
    <x v="0"/>
    <x v="0"/>
    <n v="0"/>
  </r>
  <r>
    <s v="TICKET-1082"/>
    <d v="2025-08-10T11:17:27"/>
    <d v="2025-08-12T08:21:18"/>
    <x v="1"/>
    <x v="1"/>
    <s v="Application X is crashing every time I open it. Develop course foreign no either."/>
    <x v="1"/>
    <x v="82"/>
    <x v="6"/>
    <x v="3"/>
    <n v="11"/>
  </r>
  <r>
    <s v="TICKET-1083"/>
    <d v="2025-07-29T01:49:12"/>
    <d v="2025-07-31T13:26:15"/>
    <x v="6"/>
    <x v="4"/>
    <s v="Public husband return country service very. Be exactly time firm yard price bad."/>
    <x v="2"/>
    <x v="83"/>
    <x v="5"/>
    <x v="2"/>
    <n v="1"/>
  </r>
  <r>
    <s v="TICKET-1084"/>
    <d v="2025-07-06T10:09:04"/>
    <d v="2025-07-11T00:20:43"/>
    <x v="2"/>
    <x v="9"/>
    <s v="My laptop's keyboard isn't working properly, some keys are stuck. Perform author more owner girl message."/>
    <x v="2"/>
    <x v="84"/>
    <x v="6"/>
    <x v="2"/>
    <n v="10"/>
  </r>
  <r>
    <s v="TICKET-1085"/>
    <d v="2025-07-30T04:23:34"/>
    <d v="2025-07-30T13:08:10"/>
    <x v="3"/>
    <x v="5"/>
    <s v="I'm locked out of my account and can't reset my password. Church stop environment."/>
    <x v="0"/>
    <x v="85"/>
    <x v="3"/>
    <x v="2"/>
    <n v="4"/>
  </r>
  <r>
    <s v="TICKET-1086"/>
    <d v="2025-08-23T05:18:39"/>
    <d v="2025-08-24T16:37:11"/>
    <x v="1"/>
    <x v="7"/>
    <s v="Application X is crashing every time I open it. Everyone body modern feeling shake loss."/>
    <x v="1"/>
    <x v="86"/>
    <x v="4"/>
    <x v="3"/>
    <n v="5"/>
  </r>
  <r>
    <s v="TICKET-1087"/>
    <d v="2025-07-10T03:11:23"/>
    <d v="2025-07-10T23:12:02"/>
    <x v="2"/>
    <x v="2"/>
    <s v="My laptop's keyboard isn't working properly, some keys are stuck. Whole material thus despite firm more."/>
    <x v="1"/>
    <x v="87"/>
    <x v="2"/>
    <x v="2"/>
    <n v="3"/>
  </r>
  <r>
    <s v="TICKET-1088"/>
    <d v="2025-09-12T18:58:40"/>
    <d v="2025-09-14T02:31:59"/>
    <x v="1"/>
    <x v="5"/>
    <s v="Application X is crashing every time I open it. Until statement century seat vote never."/>
    <x v="1"/>
    <x v="88"/>
    <x v="0"/>
    <x v="1"/>
    <n v="18"/>
  </r>
  <r>
    <s v="TICKET-1089"/>
    <d v="2025-09-02T15:20:46"/>
    <d v="2025-09-08T16:21:32"/>
    <x v="1"/>
    <x v="5"/>
    <s v="Application X is crashing every time I open it. Big season the."/>
    <x v="2"/>
    <x v="89"/>
    <x v="5"/>
    <x v="1"/>
    <n v="15"/>
  </r>
  <r>
    <s v="TICKET-1090"/>
    <d v="2025-07-12T12:04:37"/>
    <d v="2025-07-13T06:22:20"/>
    <x v="1"/>
    <x v="0"/>
    <s v="Application X is crashing every time I open it. Usually career attention realize."/>
    <x v="1"/>
    <x v="90"/>
    <x v="4"/>
    <x v="2"/>
    <n v="12"/>
  </r>
  <r>
    <s v="TICKET-1091"/>
    <d v="2025-08-06T04:36:43"/>
    <d v="2025-08-12T11:09:01"/>
    <x v="1"/>
    <x v="5"/>
    <s v="Application X is crashing every time I open it. Firm tonight statement feel Mrs music."/>
    <x v="2"/>
    <x v="91"/>
    <x v="3"/>
    <x v="3"/>
    <n v="4"/>
  </r>
  <r>
    <s v="TICKET-1092"/>
    <d v="2025-06-24T12:26:10"/>
    <d v="2025-06-26T10:49:37"/>
    <x v="4"/>
    <x v="3"/>
    <s v="Can't connect to the Wi-Fi. It's showing 'No internet access'. Life change act. Through imagine again whole."/>
    <x v="1"/>
    <x v="92"/>
    <x v="5"/>
    <x v="0"/>
    <n v="12"/>
  </r>
  <r>
    <s v="TICKET-1093"/>
    <d v="2025-06-25T21:27:43"/>
    <d v="2025-06-29T07:08:52"/>
    <x v="0"/>
    <x v="3"/>
    <s v="Including development attack wide. Concern his environment attack program rest team."/>
    <x v="2"/>
    <x v="93"/>
    <x v="3"/>
    <x v="0"/>
    <n v="21"/>
  </r>
  <r>
    <s v="TICKET-1094"/>
    <d v="2025-07-25T15:06:41"/>
    <d v="2025-07-30T00:43:14"/>
    <x v="3"/>
    <x v="7"/>
    <s v="I'm locked out of my account and can't reset my password. Another collection another many."/>
    <x v="2"/>
    <x v="94"/>
    <x v="0"/>
    <x v="2"/>
    <n v="15"/>
  </r>
  <r>
    <s v="TICKET-1095"/>
    <d v="2025-07-25T17:47:29"/>
    <d v="2025-07-26T21:49:20"/>
    <x v="0"/>
    <x v="0"/>
    <s v="Compare or at environmental. Six what them fall. Husband certain institution phone resource blood."/>
    <x v="1"/>
    <x v="95"/>
    <x v="0"/>
    <x v="2"/>
    <n v="17"/>
  </r>
  <r>
    <s v="TICKET-1096"/>
    <d v="2025-08-12T17:49:45"/>
    <d v="2025-08-14T13:34:20"/>
    <x v="3"/>
    <x v="4"/>
    <s v="I'm locked out of my account and can't reset my password. Medical let door front. Law end always."/>
    <x v="2"/>
    <x v="96"/>
    <x v="5"/>
    <x v="3"/>
    <n v="17"/>
  </r>
  <r>
    <s v="TICKET-1097"/>
    <d v="2025-07-25T21:16:19"/>
    <d v="2025-08-01T13:28:59"/>
    <x v="2"/>
    <x v="5"/>
    <s v="My laptop's keyboard isn't working properly, some keys are stuck. Rich fire power city. Water career next relate."/>
    <x v="2"/>
    <x v="97"/>
    <x v="0"/>
    <x v="2"/>
    <n v="21"/>
  </r>
  <r>
    <s v="TICKET-1098"/>
    <d v="2025-09-14T19:22:48"/>
    <d v="2025-09-14T22:26:30"/>
    <x v="1"/>
    <x v="1"/>
    <s v="Application X is crashing every time I open it. Result happy song want finish stuff."/>
    <x v="0"/>
    <x v="98"/>
    <x v="6"/>
    <x v="1"/>
    <n v="19"/>
  </r>
  <r>
    <s v="TICKET-1099"/>
    <d v="2025-07-31T00:15:23"/>
    <d v="2025-07-31T09:04:04"/>
    <x v="2"/>
    <x v="4"/>
    <s v="My laptop's keyboard isn't working properly, some keys are stuck. Themselves big matter happy small."/>
    <x v="1"/>
    <x v="99"/>
    <x v="2"/>
    <x v="2"/>
    <n v="0"/>
  </r>
  <r>
    <s v="TICKET-1100"/>
    <d v="2025-08-17T13:13:44"/>
    <d v="2025-08-17T15:17:50"/>
    <x v="1"/>
    <x v="5"/>
    <s v="Application X is crashing every time I open it. Agent will respond help."/>
    <x v="3"/>
    <x v="100"/>
    <x v="6"/>
    <x v="3"/>
    <n v="13"/>
  </r>
  <r>
    <s v="TICKET-1101"/>
    <d v="2025-09-11T12:55:11"/>
    <d v="2025-09-13T06:31:30"/>
    <x v="1"/>
    <x v="7"/>
    <s v="Application X is crashing every time I open it. Short commercial everybody difficult change."/>
    <x v="1"/>
    <x v="101"/>
    <x v="2"/>
    <x v="1"/>
    <n v="12"/>
  </r>
  <r>
    <s v="TICKET-1102"/>
    <d v="2025-07-01T08:49:20"/>
    <d v="2025-07-02T11:20:43"/>
    <x v="0"/>
    <x v="5"/>
    <s v="Any today within none hot again green. Remember attack event view father."/>
    <x v="2"/>
    <x v="102"/>
    <x v="5"/>
    <x v="2"/>
    <n v="8"/>
  </r>
  <r>
    <s v="TICKET-1103"/>
    <d v="2025-06-25T22:36:03"/>
    <d v="2025-06-26T09:59:45"/>
    <x v="1"/>
    <x v="9"/>
    <s v="Application X is crashing every time I open it. Represent senior his finish include nothing."/>
    <x v="1"/>
    <x v="103"/>
    <x v="3"/>
    <x v="0"/>
    <n v="22"/>
  </r>
  <r>
    <s v="TICKET-1104"/>
    <d v="2025-09-06T06:19:01"/>
    <d v="2025-09-06T10:36:27"/>
    <x v="6"/>
    <x v="9"/>
    <s v="She certain boy build. Test bag country president environment."/>
    <x v="0"/>
    <x v="104"/>
    <x v="4"/>
    <x v="1"/>
    <n v="6"/>
  </r>
  <r>
    <s v="TICKET-1105"/>
    <d v="2025-08-03T06:45:06"/>
    <d v="2025-08-05T16:41:24"/>
    <x v="4"/>
    <x v="8"/>
    <s v="Can't connect to the Wi-Fi. It's showing 'No internet access'. Hair job save son."/>
    <x v="2"/>
    <x v="105"/>
    <x v="6"/>
    <x v="3"/>
    <n v="6"/>
  </r>
  <r>
    <s v="TICKET-1106"/>
    <d v="2025-08-17T12:18:02"/>
    <d v="2025-08-18T18:29:37"/>
    <x v="6"/>
    <x v="2"/>
    <s v="Growth middle establish public."/>
    <x v="1"/>
    <x v="106"/>
    <x v="6"/>
    <x v="3"/>
    <n v="12"/>
  </r>
  <r>
    <s v="TICKET-1107"/>
    <d v="2025-07-28T14:54:12"/>
    <d v="2025-07-31T08:11:11"/>
    <x v="2"/>
    <x v="1"/>
    <s v="My laptop's keyboard isn't working properly, some keys are stuck. Produce require line letter listen often."/>
    <x v="2"/>
    <x v="107"/>
    <x v="1"/>
    <x v="2"/>
    <n v="14"/>
  </r>
  <r>
    <s v="TICKET-1108"/>
    <d v="2025-07-12T06:57:35"/>
    <d v="2025-07-12T11:56:19"/>
    <x v="2"/>
    <x v="2"/>
    <s v="My laptop's keyboard isn't working properly, some keys are stuck. At bag continue."/>
    <x v="0"/>
    <x v="108"/>
    <x v="4"/>
    <x v="2"/>
    <n v="6"/>
  </r>
  <r>
    <s v="TICKET-1109"/>
    <d v="2025-07-13T00:24:13"/>
    <d v="2025-07-19T22:24:35"/>
    <x v="1"/>
    <x v="2"/>
    <s v="Application X is crashing every time I open it. Without pass book tend."/>
    <x v="2"/>
    <x v="109"/>
    <x v="6"/>
    <x v="2"/>
    <n v="0"/>
  </r>
  <r>
    <s v="TICKET-1110"/>
    <d v="2025-07-14T05:56:24"/>
    <d v="2025-07-14T12:35:51"/>
    <x v="3"/>
    <x v="7"/>
    <s v="I'm locked out of my account and can't reset my password. Right where add."/>
    <x v="0"/>
    <x v="110"/>
    <x v="1"/>
    <x v="2"/>
    <n v="5"/>
  </r>
  <r>
    <s v="TICKET-1111"/>
    <d v="2025-08-28T11:29:55"/>
    <d v="2025-09-04T10:40:12"/>
    <x v="1"/>
    <x v="2"/>
    <s v="Application X is crashing every time I open it. Argue team senior low training."/>
    <x v="2"/>
    <x v="111"/>
    <x v="2"/>
    <x v="3"/>
    <n v="11"/>
  </r>
  <r>
    <s v="TICKET-1112"/>
    <d v="2025-08-28T08:02:11"/>
    <d v="2025-09-02T04:40:56"/>
    <x v="5"/>
    <x v="1"/>
    <s v="Plant attack should. Drive international today. Pretty statement her upon nation."/>
    <x v="2"/>
    <x v="112"/>
    <x v="2"/>
    <x v="3"/>
    <n v="8"/>
  </r>
  <r>
    <s v="TICKET-1113"/>
    <d v="2025-08-20T11:19:48"/>
    <d v="2025-08-20T13:31:35"/>
    <x v="2"/>
    <x v="3"/>
    <s v="My laptop's keyboard isn't working properly, some keys are stuck. Chance place build body population."/>
    <x v="0"/>
    <x v="113"/>
    <x v="3"/>
    <x v="3"/>
    <n v="11"/>
  </r>
  <r>
    <s v="TICKET-1114"/>
    <d v="2025-06-26T06:39:15"/>
    <d v="2025-06-26T21:07:28"/>
    <x v="0"/>
    <x v="4"/>
    <s v="Something million activity. Interview under cover career under. Can address show public."/>
    <x v="1"/>
    <x v="114"/>
    <x v="2"/>
    <x v="0"/>
    <n v="6"/>
  </r>
  <r>
    <s v="TICKET-1115"/>
    <d v="2025-09-04T00:02:17"/>
    <d v="2025-09-08T17:50:48"/>
    <x v="3"/>
    <x v="9"/>
    <s v="I'm locked out of my account and can't reset my password. Receive nature option oil read trouble."/>
    <x v="2"/>
    <x v="115"/>
    <x v="2"/>
    <x v="1"/>
    <n v="0"/>
  </r>
  <r>
    <s v="TICKET-1116"/>
    <d v="2025-07-14T03:29:18"/>
    <d v="2025-07-15T11:50:20"/>
    <x v="1"/>
    <x v="2"/>
    <s v="Application X is crashing every time I open it. Toward ago director condition food share meet."/>
    <x v="1"/>
    <x v="116"/>
    <x v="1"/>
    <x v="2"/>
    <n v="3"/>
  </r>
  <r>
    <s v="TICKET-1117"/>
    <d v="2025-07-24T06:40:03"/>
    <d v="2025-07-26T02:18:46"/>
    <x v="3"/>
    <x v="8"/>
    <s v="I'm locked out of my account and can't reset my password. For we when drive. Start identify now throw."/>
    <x v="1"/>
    <x v="117"/>
    <x v="2"/>
    <x v="2"/>
    <n v="6"/>
  </r>
  <r>
    <s v="TICKET-1118"/>
    <d v="2025-08-03T22:42:23"/>
    <d v="2025-08-10T12:59:57"/>
    <x v="6"/>
    <x v="5"/>
    <s v="Even focus animal civil quality lay skill. Need maybe former return."/>
    <x v="2"/>
    <x v="118"/>
    <x v="6"/>
    <x v="3"/>
    <n v="22"/>
  </r>
  <r>
    <s v="TICKET-1119"/>
    <d v="2025-07-12T00:15:34"/>
    <d v="2025-07-12T19:05:17"/>
    <x v="2"/>
    <x v="1"/>
    <s v="My laptop's keyboard isn't working properly, some keys are stuck. Cup money work certainly color."/>
    <x v="1"/>
    <x v="119"/>
    <x v="4"/>
    <x v="2"/>
    <n v="0"/>
  </r>
  <r>
    <s v="TICKET-1120"/>
    <d v="2025-07-19T13:02:22"/>
    <d v="2025-07-20T07:25:23"/>
    <x v="0"/>
    <x v="4"/>
    <s v="Clear late win beat. Those arm say year him science door."/>
    <x v="1"/>
    <x v="120"/>
    <x v="4"/>
    <x v="2"/>
    <n v="13"/>
  </r>
  <r>
    <s v="TICKET-1121"/>
    <d v="2025-06-29T20:08:30"/>
    <d v="2025-06-30T10:31:43"/>
    <x v="3"/>
    <x v="7"/>
    <s v="I'm locked out of my account and can't reset my password. Purpose almost nature create authority company."/>
    <x v="1"/>
    <x v="121"/>
    <x v="6"/>
    <x v="0"/>
    <n v="20"/>
  </r>
  <r>
    <s v="TICKET-1122"/>
    <d v="2025-07-29T14:50:17"/>
    <d v="2025-07-30T09:24:48"/>
    <x v="1"/>
    <x v="0"/>
    <s v="Application X is crashing every time I open it. Garden better chance impact where how member."/>
    <x v="1"/>
    <x v="122"/>
    <x v="5"/>
    <x v="2"/>
    <n v="14"/>
  </r>
  <r>
    <s v="TICKET-1123"/>
    <d v="2025-08-19T01:11:31"/>
    <d v="2025-08-20T19:06:33"/>
    <x v="4"/>
    <x v="1"/>
    <s v="Can't connect to the Wi-Fi. It's showing 'No internet access'. Bag without else red. Able year decision others."/>
    <x v="1"/>
    <x v="123"/>
    <x v="5"/>
    <x v="3"/>
    <n v="1"/>
  </r>
  <r>
    <s v="TICKET-1124"/>
    <d v="2025-06-25T06:03:59"/>
    <d v="2025-06-25T18:46:33"/>
    <x v="6"/>
    <x v="9"/>
    <s v="Police machine star. Computer lead control across blue eye force. Parent set professor sit couple."/>
    <x v="1"/>
    <x v="124"/>
    <x v="3"/>
    <x v="0"/>
    <n v="6"/>
  </r>
  <r>
    <s v="TICKET-1125"/>
    <d v="2025-08-02T18:27:58"/>
    <d v="2025-08-03T12:11:22"/>
    <x v="6"/>
    <x v="3"/>
    <s v="Group resource dinner knowledge scientist Mr. Police simply enter training too."/>
    <x v="1"/>
    <x v="125"/>
    <x v="4"/>
    <x v="3"/>
    <n v="18"/>
  </r>
  <r>
    <s v="TICKET-1126"/>
    <d v="2025-08-26T00:22:43"/>
    <d v="2025-08-29T23:04:42"/>
    <x v="2"/>
    <x v="5"/>
    <s v="My laptop's keyboard isn't working properly, some keys are stuck. Go wear understand relate."/>
    <x v="2"/>
    <x v="126"/>
    <x v="5"/>
    <x v="3"/>
    <n v="0"/>
  </r>
  <r>
    <s v="TICKET-1127"/>
    <d v="2025-07-17T15:23:19"/>
    <d v="2025-07-22T01:23:32"/>
    <x v="1"/>
    <x v="9"/>
    <s v="Application X is crashing every time I open it. Gas mother rate wind fight success medical."/>
    <x v="2"/>
    <x v="127"/>
    <x v="2"/>
    <x v="2"/>
    <n v="15"/>
  </r>
  <r>
    <s v="TICKET-1128"/>
    <d v="2025-09-09T17:02:08"/>
    <d v="2025-09-10T01:18:37"/>
    <x v="4"/>
    <x v="2"/>
    <s v="Can't connect to the Wi-Fi. It's showing 'No internet access'. These entire million eat play sit."/>
    <x v="0"/>
    <x v="128"/>
    <x v="5"/>
    <x v="1"/>
    <n v="17"/>
  </r>
  <r>
    <s v="TICKET-1129"/>
    <d v="2025-09-06T17:30:19"/>
    <d v="2025-09-08T16:09:05"/>
    <x v="0"/>
    <x v="1"/>
    <s v="Draw once season talk forward. Decision partner north realize finish one question."/>
    <x v="1"/>
    <x v="129"/>
    <x v="4"/>
    <x v="1"/>
    <n v="17"/>
  </r>
  <r>
    <s v="TICKET-1130"/>
    <d v="2025-09-10T20:54:16"/>
    <d v="2025-09-12T16:37:10"/>
    <x v="6"/>
    <x v="6"/>
    <s v="Catch travel form bar pretty himself team. Light suffer evidence land ok may guy."/>
    <x v="2"/>
    <x v="130"/>
    <x v="3"/>
    <x v="1"/>
    <n v="20"/>
  </r>
  <r>
    <s v="TICKET-1131"/>
    <d v="2025-08-10T12:29:53"/>
    <d v="2025-08-14T09:20:30"/>
    <x v="6"/>
    <x v="2"/>
    <s v="Act believe heavy watch best game part. Too language mean. Cut age personal resource."/>
    <x v="2"/>
    <x v="131"/>
    <x v="6"/>
    <x v="3"/>
    <n v="12"/>
  </r>
  <r>
    <s v="TICKET-1132"/>
    <d v="2025-09-07T02:38:17"/>
    <d v="2025-09-10T14:05:49"/>
    <x v="0"/>
    <x v="7"/>
    <s v="Year name message voice data. Protect word up today. Break drop already life."/>
    <x v="2"/>
    <x v="132"/>
    <x v="6"/>
    <x v="1"/>
    <n v="2"/>
  </r>
  <r>
    <s v="TICKET-1133"/>
    <d v="2025-07-21T07:07:14"/>
    <d v="2025-07-21T17:05:13"/>
    <x v="3"/>
    <x v="3"/>
    <s v="I'm locked out of my account and can't reset my password. Maintain tree story research hair why."/>
    <x v="0"/>
    <x v="133"/>
    <x v="1"/>
    <x v="2"/>
    <n v="7"/>
  </r>
  <r>
    <s v="TICKET-1134"/>
    <d v="2025-08-15T01:02:50"/>
    <d v="2025-08-22T00:38:38"/>
    <x v="0"/>
    <x v="5"/>
    <s v="Memory process group arm attack indicate mother. View three prepare by."/>
    <x v="2"/>
    <x v="134"/>
    <x v="0"/>
    <x v="3"/>
    <n v="1"/>
  </r>
  <r>
    <s v="TICKET-1135"/>
    <d v="2025-06-24T05:57:14"/>
    <d v="2025-06-29T00:46:12"/>
    <x v="5"/>
    <x v="6"/>
    <s v="Foreign sign be money cup raise keep. Right scene market."/>
    <x v="2"/>
    <x v="135"/>
    <x v="5"/>
    <x v="0"/>
    <n v="5"/>
  </r>
  <r>
    <s v="TICKET-1136"/>
    <d v="2025-09-14T17:50:13"/>
    <d v="2025-09-17T23:47:19"/>
    <x v="2"/>
    <x v="6"/>
    <s v="My laptop's keyboard isn't working properly, some keys are stuck. Certain six among before."/>
    <x v="2"/>
    <x v="136"/>
    <x v="6"/>
    <x v="1"/>
    <n v="17"/>
  </r>
  <r>
    <s v="TICKET-1137"/>
    <d v="2025-06-29T09:14:35"/>
    <d v="2025-06-30T23:16:51"/>
    <x v="2"/>
    <x v="1"/>
    <s v="My laptop's keyboard isn't working properly, some keys are stuck. Ago his against point garden drug."/>
    <x v="2"/>
    <x v="137"/>
    <x v="6"/>
    <x v="0"/>
    <n v="9"/>
  </r>
  <r>
    <s v="TICKET-1138"/>
    <d v="2025-08-19T13:22:46"/>
    <d v="2025-08-20T12:41:10"/>
    <x v="1"/>
    <x v="0"/>
    <s v="Application X is crashing every time I open it. Any state food citizen."/>
    <x v="1"/>
    <x v="138"/>
    <x v="5"/>
    <x v="3"/>
    <n v="13"/>
  </r>
  <r>
    <s v="TICKET-1139"/>
    <d v="2025-08-21T14:38:53"/>
    <d v="2025-08-27T10:24:43"/>
    <x v="4"/>
    <x v="6"/>
    <s v="Can't connect to the Wi-Fi. It's showing 'No internet access'. He particularly begin save area finally word."/>
    <x v="2"/>
    <x v="139"/>
    <x v="2"/>
    <x v="3"/>
    <n v="14"/>
  </r>
  <r>
    <s v="TICKET-1140"/>
    <d v="2025-08-05T10:58:02"/>
    <d v="2025-08-06T01:50:41"/>
    <x v="2"/>
    <x v="8"/>
    <s v="My laptop's keyboard isn't working properly, some keys are stuck. Serious simply mind cost movie actually."/>
    <x v="1"/>
    <x v="140"/>
    <x v="5"/>
    <x v="3"/>
    <n v="10"/>
  </r>
  <r>
    <s v="TICKET-1141"/>
    <d v="2025-08-18T10:22:03"/>
    <d v="2025-08-18T23:14:10"/>
    <x v="2"/>
    <x v="0"/>
    <s v="My laptop's keyboard isn't working properly, some keys are stuck. Social approach mother white."/>
    <x v="1"/>
    <x v="141"/>
    <x v="1"/>
    <x v="3"/>
    <n v="10"/>
  </r>
  <r>
    <s v="TICKET-1142"/>
    <d v="2025-09-13T16:20:39"/>
    <d v="2025-09-14T21:34:39"/>
    <x v="4"/>
    <x v="4"/>
    <s v="Can't connect to the Wi-Fi. It's showing 'No internet access'. Enter room up sound nature."/>
    <x v="1"/>
    <x v="142"/>
    <x v="4"/>
    <x v="1"/>
    <n v="16"/>
  </r>
  <r>
    <s v="TICKET-1143"/>
    <d v="2025-08-03T06:49:31"/>
    <d v="2025-08-06T22:49:37"/>
    <x v="2"/>
    <x v="3"/>
    <s v="My laptop's keyboard isn't working properly, some keys are stuck. Effort to since question."/>
    <x v="2"/>
    <x v="143"/>
    <x v="6"/>
    <x v="3"/>
    <n v="6"/>
  </r>
  <r>
    <s v="TICKET-1144"/>
    <d v="2025-06-27T03:04:20"/>
    <d v="2025-06-27T15:18:06"/>
    <x v="1"/>
    <x v="8"/>
    <s v="Application X is crashing every time I open it. These drive president building."/>
    <x v="1"/>
    <x v="144"/>
    <x v="0"/>
    <x v="0"/>
    <n v="3"/>
  </r>
  <r>
    <s v="TICKET-1145"/>
    <d v="2025-08-31T15:49:39"/>
    <d v="2025-08-31T17:50:14"/>
    <x v="6"/>
    <x v="3"/>
    <s v="Suddenly effort she without without."/>
    <x v="3"/>
    <x v="145"/>
    <x v="6"/>
    <x v="3"/>
    <n v="15"/>
  </r>
  <r>
    <s v="TICKET-1146"/>
    <d v="2025-06-24T11:03:22"/>
    <d v="2025-06-24T18:54:19"/>
    <x v="4"/>
    <x v="6"/>
    <s v="Can't connect to the Wi-Fi. It's showing 'No internet access'. Should that nation can difficult nice."/>
    <x v="0"/>
    <x v="146"/>
    <x v="5"/>
    <x v="0"/>
    <n v="11"/>
  </r>
  <r>
    <s v="TICKET-1147"/>
    <d v="2025-09-02T16:56:42"/>
    <d v="2025-09-06T05:01:09"/>
    <x v="5"/>
    <x v="3"/>
    <s v="Look scene real owner agent whose specific. Along they yourself character year or behind."/>
    <x v="2"/>
    <x v="147"/>
    <x v="5"/>
    <x v="1"/>
    <n v="16"/>
  </r>
  <r>
    <s v="TICKET-1148"/>
    <d v="2025-07-16T14:22:14"/>
    <d v="2025-07-17T16:50:12"/>
    <x v="0"/>
    <x v="7"/>
    <s v="You reflect radio. Especially speech wish interesting wife."/>
    <x v="1"/>
    <x v="148"/>
    <x v="3"/>
    <x v="2"/>
    <n v="14"/>
  </r>
  <r>
    <s v="TICKET-1149"/>
    <d v="2025-07-31T04:12:39"/>
    <d v="2025-08-01T04:13:25"/>
    <x v="2"/>
    <x v="0"/>
    <s v="My laptop's keyboard isn't working properly, some keys are stuck. Event pattern factor deep manager work."/>
    <x v="1"/>
    <x v="149"/>
    <x v="2"/>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C88AEF-AAC1-47A1-B7F6-5D22445AA488}"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lp_desk_ticket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B3B05-0C35-44B7-B755-40FE52AEA071}"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lp_desk_ticket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4670E-038D-465F-89F9-BAE904A5F8C9}"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1">
    <pivotField dataField="1" showAll="0"/>
    <pivotField numFmtId="22" showAll="0"/>
    <pivotField numFmtId="22" showAll="0"/>
    <pivotField showAll="0"/>
    <pivotField showAll="0"/>
    <pivotField showAll="0"/>
    <pivotField showAll="0">
      <items count="5">
        <item x="3"/>
        <item x="0"/>
        <item x="2"/>
        <item x="1"/>
        <item t="default"/>
      </items>
    </pivotField>
    <pivotField numFmtId="164" showAll="0"/>
    <pivotField axis="axisRow" showAll="0">
      <items count="8">
        <item x="6"/>
        <item x="1"/>
        <item x="5"/>
        <item x="3"/>
        <item x="2"/>
        <item x="0"/>
        <item x="4"/>
        <item t="default"/>
      </items>
    </pivotField>
    <pivotField showAll="0">
      <items count="5">
        <item x="0"/>
        <item x="2"/>
        <item x="3"/>
        <item x="1"/>
        <item t="default"/>
      </items>
    </pivotField>
    <pivotField showAll="0"/>
  </pivotFields>
  <rowFields count="1">
    <field x="8"/>
  </rowFields>
  <rowItems count="8">
    <i>
      <x/>
    </i>
    <i>
      <x v="1"/>
    </i>
    <i>
      <x v="2"/>
    </i>
    <i>
      <x v="3"/>
    </i>
    <i>
      <x v="4"/>
    </i>
    <i>
      <x v="5"/>
    </i>
    <i>
      <x v="6"/>
    </i>
    <i t="grand">
      <x/>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BB9E7-D601-4188-81FB-C215EB531DB4}" name="PivotTable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31" firstHeaderRow="1" firstDataRow="1" firstDataCol="1"/>
  <pivotFields count="11">
    <pivotField showAll="0"/>
    <pivotField numFmtId="22" showAll="0"/>
    <pivotField numFmtId="22" showAll="0"/>
    <pivotField axis="axisRow" showAll="0">
      <items count="8">
        <item x="3"/>
        <item x="6"/>
        <item x="2"/>
        <item x="4"/>
        <item x="0"/>
        <item x="5"/>
        <item x="1"/>
        <item t="default"/>
      </items>
    </pivotField>
    <pivotField showAll="0"/>
    <pivotField showAll="0"/>
    <pivotField axis="axisRow" showAll="0">
      <items count="5">
        <item x="3"/>
        <item x="0"/>
        <item x="2"/>
        <item x="1"/>
        <item t="default"/>
      </items>
    </pivotField>
    <pivotField dataField="1" numFmtId="164" showAll="0"/>
    <pivotField showAll="0">
      <items count="8">
        <item x="6"/>
        <item x="1"/>
        <item x="5"/>
        <item x="3"/>
        <item x="2"/>
        <item x="0"/>
        <item x="4"/>
        <item t="default"/>
      </items>
    </pivotField>
    <pivotField showAll="0">
      <items count="5">
        <item x="0"/>
        <item x="2"/>
        <item x="3"/>
        <item x="1"/>
        <item t="default"/>
      </items>
    </pivotField>
    <pivotField showAll="0"/>
  </pivotFields>
  <rowFields count="2">
    <field x="6"/>
    <field x="3"/>
  </rowFields>
  <rowItems count="28">
    <i>
      <x/>
    </i>
    <i r="1">
      <x v="1"/>
    </i>
    <i r="1">
      <x v="2"/>
    </i>
    <i r="1">
      <x v="6"/>
    </i>
    <i>
      <x v="1"/>
    </i>
    <i r="1">
      <x/>
    </i>
    <i r="1">
      <x v="1"/>
    </i>
    <i r="1">
      <x v="2"/>
    </i>
    <i r="1">
      <x v="3"/>
    </i>
    <i r="1">
      <x v="4"/>
    </i>
    <i r="1">
      <x v="5"/>
    </i>
    <i r="1">
      <x v="6"/>
    </i>
    <i>
      <x v="2"/>
    </i>
    <i r="1">
      <x/>
    </i>
    <i r="1">
      <x v="1"/>
    </i>
    <i r="1">
      <x v="2"/>
    </i>
    <i r="1">
      <x v="3"/>
    </i>
    <i r="1">
      <x v="4"/>
    </i>
    <i r="1">
      <x v="5"/>
    </i>
    <i r="1">
      <x v="6"/>
    </i>
    <i>
      <x v="3"/>
    </i>
    <i r="1">
      <x/>
    </i>
    <i r="1">
      <x v="1"/>
    </i>
    <i r="1">
      <x v="2"/>
    </i>
    <i r="1">
      <x v="3"/>
    </i>
    <i r="1">
      <x v="4"/>
    </i>
    <i r="1">
      <x v="6"/>
    </i>
    <i t="grand">
      <x/>
    </i>
  </rowItems>
  <colItems count="1">
    <i/>
  </colItems>
  <dataFields count="1">
    <dataField name="Average of Resultion Time" fld="7" subtotal="average" baseField="3" baseItem="0" numFmtId="164"/>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30374D-0FA6-49B8-B4E5-E259BC03E0CB}" name="PivotTable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1">
    <pivotField showAll="0"/>
    <pivotField numFmtId="22" showAll="0"/>
    <pivotField numFmtId="22" showAll="0"/>
    <pivotField showAll="0"/>
    <pivotField axis="axisRow" multipleItemSelectionAllowed="1" showAll="0" sortType="a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dataField="1" numFmtId="164"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showAll="0">
      <items count="5">
        <item x="0"/>
        <item x="2"/>
        <item x="3"/>
        <item x="1"/>
        <item t="default"/>
      </items>
    </pivotField>
    <pivotField showAll="0"/>
  </pivotFields>
  <rowFields count="1">
    <field x="4"/>
  </rowFields>
  <rowItems count="11">
    <i>
      <x v="9"/>
    </i>
    <i>
      <x v="6"/>
    </i>
    <i>
      <x v="4"/>
    </i>
    <i>
      <x/>
    </i>
    <i>
      <x v="8"/>
    </i>
    <i>
      <x v="3"/>
    </i>
    <i>
      <x v="5"/>
    </i>
    <i>
      <x v="7"/>
    </i>
    <i>
      <x v="2"/>
    </i>
    <i>
      <x v="1"/>
    </i>
    <i t="grand">
      <x/>
    </i>
  </rowItems>
  <colItems count="1">
    <i/>
  </colItems>
  <dataFields count="1">
    <dataField name="Average of Resultion Time" fld="7" subtotal="average" baseField="4" baseItem="0" numFmtId="164"/>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7"/>
          </reference>
        </references>
      </pivotArea>
    </chartFormat>
    <chartFormat chart="3" format="16">
      <pivotArea type="data" outline="0" fieldPosition="0">
        <references count="2">
          <reference field="4294967294" count="1" selected="0">
            <x v="0"/>
          </reference>
          <reference field="4" count="1" selected="0">
            <x v="5"/>
          </reference>
        </references>
      </pivotArea>
    </chartFormat>
    <chartFormat chart="3" format="17">
      <pivotArea type="data" outline="0" fieldPosition="0">
        <references count="2">
          <reference field="4294967294" count="1" selected="0">
            <x v="0"/>
          </reference>
          <reference field="4" count="1" selected="0">
            <x v="3"/>
          </reference>
        </references>
      </pivotArea>
    </chartFormat>
    <chartFormat chart="3" format="18">
      <pivotArea type="data" outline="0" fieldPosition="0">
        <references count="2">
          <reference field="4294967294" count="1" selected="0">
            <x v="0"/>
          </reference>
          <reference field="4" count="1" selected="0">
            <x v="8"/>
          </reference>
        </references>
      </pivotArea>
    </chartFormat>
    <chartFormat chart="3" format="19">
      <pivotArea type="data" outline="0" fieldPosition="0">
        <references count="2">
          <reference field="4294967294" count="1" selected="0">
            <x v="0"/>
          </reference>
          <reference field="4" count="1" selected="0">
            <x v="0"/>
          </reference>
        </references>
      </pivotArea>
    </chartFormat>
    <chartFormat chart="3" format="20">
      <pivotArea type="data" outline="0" fieldPosition="0">
        <references count="2">
          <reference field="4294967294" count="1" selected="0">
            <x v="0"/>
          </reference>
          <reference field="4" count="1" selected="0">
            <x v="4"/>
          </reference>
        </references>
      </pivotArea>
    </chartFormat>
    <chartFormat chart="3" format="21">
      <pivotArea type="data" outline="0" fieldPosition="0">
        <references count="2">
          <reference field="4294967294" count="1" selected="0">
            <x v="0"/>
          </reference>
          <reference field="4" count="1" selected="0">
            <x v="6"/>
          </reference>
        </references>
      </pivotArea>
    </chartFormat>
    <chartFormat chart="3"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2FB186E-1A1B-471A-845D-1D78316838F4}" sourceName="Priority">
  <pivotTables>
    <pivotTable tabId="5" name="PivotTable4"/>
    <pivotTable tabId="6" name="PivotTable5"/>
    <pivotTable tabId="2" name="PivotTable1"/>
  </pivotTables>
  <data>
    <tabular pivotCacheId="145745500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42A375E-7D5A-46BB-9B33-63FE361646B0}" sourceName="Week">
  <pivotTables>
    <pivotTable tabId="2" name="PivotTable1"/>
    <pivotTable tabId="6" name="PivotTable5"/>
    <pivotTable tabId="5" name="PivotTable4"/>
  </pivotTables>
  <data>
    <tabular pivotCacheId="1457455003">
      <items count="7">
        <i x="6" s="1"/>
        <i x="1" s="1"/>
        <i x="5"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1C6FED-C852-43AC-BE14-5BD25ABEF3DD}" sourceName="Month">
  <pivotTables>
    <pivotTable tabId="2" name="PivotTable1"/>
    <pivotTable tabId="6" name="PivotTable5"/>
    <pivotTable tabId="5" name="PivotTable4"/>
  </pivotTables>
  <data>
    <tabular pivotCacheId="145745500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B3B2F326-74F1-48F6-9420-FCE679B07038}" cache="Slicer_Priority" caption="Priority" rowHeight="251883"/>
  <slicer name="Week" xr10:uid="{D91767BF-92EA-49B6-BD81-B4E4D28310B5}" cache="Slicer_Week" caption="Week" rowHeight="251883"/>
  <slicer name="Month" xr10:uid="{4C89F025-74BE-41CB-9B5A-1037A4C4B12A}"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5D76AC-5BD1-4BC2-8988-114B6BF2485E}" name="Table13" displayName="Table13" ref="A1:K151" totalsRowShown="0">
  <autoFilter ref="A1:K151" xr:uid="{DD5D76AC-5BD1-4BC2-8988-114B6BF2485E}"/>
  <tableColumns count="11">
    <tableColumn id="1" xr3:uid="{39E7D7BC-AA0B-433C-A9CC-A7F5365EAD5E}" name="ticket_id"/>
    <tableColumn id="2" xr3:uid="{F478D3C6-6929-4F78-BDC3-B987BA4A3CE9}" name="submission_date" dataDxfId="5"/>
    <tableColumn id="3" xr3:uid="{E5910AE9-155E-4D46-84C2-D5D2C040B788}" name="resolution_date" dataDxfId="4"/>
    <tableColumn id="4" xr3:uid="{D9521D79-E331-453D-A057-D40581E22338}" name="category"/>
    <tableColumn id="5" xr3:uid="{97727669-6FEE-4727-AC9B-6E6E36EF2BD4}" name="assigned_analyst"/>
    <tableColumn id="6" xr3:uid="{D4D6E199-949F-4DA9-BDF6-B8DEFC97D05B}" name="description"/>
    <tableColumn id="7" xr3:uid="{8D9D6BEE-6053-4450-B2BF-66135CF41B08}" name="priority"/>
    <tableColumn id="8" xr3:uid="{C2B2F8F9-BF2E-4301-8596-12F264A9C640}" name="Resolution Time" dataDxfId="3">
      <calculatedColumnFormula>(Table13[[#This Row],[resolution_date]]-Table13[[#This Row],[submission_date]])*24</calculatedColumnFormula>
    </tableColumn>
    <tableColumn id="9" xr3:uid="{01052E0D-BD1A-4261-AB10-31EDEEE39E16}" name="Week" dataDxfId="2">
      <calculatedColumnFormula>TEXT(Table13[[#This Row],[submission_date]],"dddd")</calculatedColumnFormula>
    </tableColumn>
    <tableColumn id="10" xr3:uid="{4D1B7657-4C40-4850-84CD-2ACC69B29150}" name="Month" dataDxfId="1">
      <calculatedColumnFormula>TEXT(Table13[[#This Row],[submission_date]],"mmmm")</calculatedColumnFormula>
    </tableColumn>
    <tableColumn id="11" xr3:uid="{6D1467C3-7DC5-4557-8A77-DCA9DEDEA363}" name="Hour" dataDxfId="0">
      <calculatedColumnFormula>TEXT(Table13[[#This Row],[submission_date]],"hh")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2687-2CC1-490B-B6BE-79164D87FE56}">
  <dimension ref="A1"/>
  <sheetViews>
    <sheetView showGridLines="0" workbookViewId="0">
      <selection activeCell="K40" sqref="K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907B-190B-48EC-9FE1-57828CBEADCB}">
  <dimension ref="A1:K151"/>
  <sheetViews>
    <sheetView workbookViewId="0">
      <selection activeCell="B9" sqref="B9"/>
    </sheetView>
  </sheetViews>
  <sheetFormatPr defaultRowHeight="15" x14ac:dyDescent="0.25"/>
  <cols>
    <col min="1" max="1" width="10.85546875" customWidth="1"/>
    <col min="2" max="2" width="14.5703125" style="6" customWidth="1"/>
    <col min="3" max="3" width="13.5703125" style="6" customWidth="1"/>
    <col min="4" max="4" width="10.28515625" customWidth="1"/>
    <col min="5" max="5" width="20.85546875" customWidth="1"/>
    <col min="6" max="6" width="62.5703125" customWidth="1"/>
    <col min="7" max="7" width="9.7109375" customWidth="1"/>
    <col min="8" max="8" width="12.7109375" style="2" customWidth="1"/>
    <col min="9" max="9" width="12.28515625" customWidth="1"/>
    <col min="10" max="10" width="10.28515625" customWidth="1"/>
  </cols>
  <sheetData>
    <row r="1" spans="1:11" x14ac:dyDescent="0.25">
      <c r="A1" t="s">
        <v>351</v>
      </c>
      <c r="B1" s="6" t="s">
        <v>352</v>
      </c>
      <c r="C1" s="6" t="s">
        <v>353</v>
      </c>
      <c r="D1" t="s">
        <v>354</v>
      </c>
      <c r="E1" t="s">
        <v>355</v>
      </c>
      <c r="F1" t="s">
        <v>356</v>
      </c>
      <c r="G1" t="s">
        <v>357</v>
      </c>
      <c r="H1" s="2" t="s">
        <v>358</v>
      </c>
      <c r="I1" t="s">
        <v>321</v>
      </c>
      <c r="J1" t="s">
        <v>322</v>
      </c>
      <c r="K1" t="s">
        <v>323</v>
      </c>
    </row>
    <row r="2" spans="1:11" x14ac:dyDescent="0.25">
      <c r="A2" t="s">
        <v>0</v>
      </c>
      <c r="B2" s="6">
        <v>45835.941851550924</v>
      </c>
      <c r="C2" s="6">
        <v>45836.157414861111</v>
      </c>
      <c r="D2" t="s">
        <v>1</v>
      </c>
      <c r="E2" t="s">
        <v>2</v>
      </c>
      <c r="F2" t="s">
        <v>3</v>
      </c>
      <c r="G2" t="s">
        <v>4</v>
      </c>
      <c r="H2" s="2">
        <f>(Table13[[#This Row],[resolution_date]]-Table13[[#This Row],[submission_date]])*24</f>
        <v>5.1735194444772787</v>
      </c>
      <c r="I2" s="7" t="str">
        <f>TEXT(Table13[[#This Row],[submission_date]],"dddd")</f>
        <v>Friday</v>
      </c>
      <c r="J2" t="str">
        <f>TEXT(Table13[[#This Row],[submission_date]],"mmmm")</f>
        <v>June</v>
      </c>
      <c r="K2" t="str">
        <f>TEXT(Table13[[#This Row],[submission_date]],"hh")</f>
        <v>22</v>
      </c>
    </row>
    <row r="3" spans="1:11" x14ac:dyDescent="0.25">
      <c r="A3" t="s">
        <v>5</v>
      </c>
      <c r="B3" s="6">
        <v>45901.811099571758</v>
      </c>
      <c r="C3" s="6">
        <v>45903.304233009258</v>
      </c>
      <c r="D3" t="s">
        <v>6</v>
      </c>
      <c r="E3" t="s">
        <v>7</v>
      </c>
      <c r="F3" t="s">
        <v>8</v>
      </c>
      <c r="G3" t="s">
        <v>9</v>
      </c>
      <c r="H3" s="2">
        <f>(Table13[[#This Row],[resolution_date]]-Table13[[#This Row],[submission_date]])*24</f>
        <v>35.835202499991283</v>
      </c>
      <c r="I3" s="7" t="str">
        <f>TEXT(Table13[[#This Row],[submission_date]],"dddd")</f>
        <v>Monday</v>
      </c>
      <c r="J3" t="str">
        <f>TEXT(Table13[[#This Row],[submission_date]],"mmmm")</f>
        <v>September</v>
      </c>
      <c r="K3" t="str">
        <f>TEXT(Table13[[#This Row],[submission_date]],"hh")</f>
        <v>19</v>
      </c>
    </row>
    <row r="4" spans="1:11" x14ac:dyDescent="0.25">
      <c r="A4" t="s">
        <v>10</v>
      </c>
      <c r="B4" s="6">
        <v>45904.397251620372</v>
      </c>
      <c r="C4" s="6">
        <v>45905.993478182871</v>
      </c>
      <c r="D4" t="s">
        <v>1</v>
      </c>
      <c r="E4" t="s">
        <v>11</v>
      </c>
      <c r="F4" t="s">
        <v>12</v>
      </c>
      <c r="G4" t="s">
        <v>9</v>
      </c>
      <c r="H4" s="2">
        <f>(Table13[[#This Row],[resolution_date]]-Table13[[#This Row],[submission_date]])*24</f>
        <v>38.309437499963678</v>
      </c>
      <c r="I4" s="7" t="str">
        <f>TEXT(Table13[[#This Row],[submission_date]],"dddd")</f>
        <v>Thursday</v>
      </c>
      <c r="J4" t="str">
        <f>TEXT(Table13[[#This Row],[submission_date]],"mmmm")</f>
        <v>September</v>
      </c>
      <c r="K4" t="str">
        <f>TEXT(Table13[[#This Row],[submission_date]],"hh")</f>
        <v>09</v>
      </c>
    </row>
    <row r="5" spans="1:11" x14ac:dyDescent="0.25">
      <c r="A5" t="s">
        <v>13</v>
      </c>
      <c r="B5" s="6">
        <v>45866.74136521991</v>
      </c>
      <c r="C5" s="6">
        <v>45867.068278460647</v>
      </c>
      <c r="D5" t="s">
        <v>14</v>
      </c>
      <c r="E5" t="s">
        <v>15</v>
      </c>
      <c r="F5" t="s">
        <v>16</v>
      </c>
      <c r="G5" t="s">
        <v>4</v>
      </c>
      <c r="H5" s="2">
        <f>(Table13[[#This Row],[resolution_date]]-Table13[[#This Row],[submission_date]])*24</f>
        <v>7.8459177776821889</v>
      </c>
      <c r="I5" s="7" t="str">
        <f>TEXT(Table13[[#This Row],[submission_date]],"dddd")</f>
        <v>Monday</v>
      </c>
      <c r="J5" t="str">
        <f>TEXT(Table13[[#This Row],[submission_date]],"mmmm")</f>
        <v>July</v>
      </c>
      <c r="K5" t="str">
        <f>TEXT(Table13[[#This Row],[submission_date]],"hh")</f>
        <v>17</v>
      </c>
    </row>
    <row r="6" spans="1:11" x14ac:dyDescent="0.25">
      <c r="A6" t="s">
        <v>17</v>
      </c>
      <c r="B6" s="6">
        <v>45903.907044259257</v>
      </c>
      <c r="C6" s="6">
        <v>45904.286888356481</v>
      </c>
      <c r="D6" t="s">
        <v>6</v>
      </c>
      <c r="E6" t="s">
        <v>18</v>
      </c>
      <c r="F6" t="s">
        <v>19</v>
      </c>
      <c r="G6" t="s">
        <v>4</v>
      </c>
      <c r="H6" s="2">
        <f>(Table13[[#This Row],[resolution_date]]-Table13[[#This Row],[submission_date]])*24</f>
        <v>9.1162583333789371</v>
      </c>
      <c r="I6" s="7" t="str">
        <f>TEXT(Table13[[#This Row],[submission_date]],"dddd")</f>
        <v>Wednesday</v>
      </c>
      <c r="J6" t="str">
        <f>TEXT(Table13[[#This Row],[submission_date]],"mmmm")</f>
        <v>September</v>
      </c>
      <c r="K6" t="str">
        <f>TEXT(Table13[[#This Row],[submission_date]],"hh")</f>
        <v>21</v>
      </c>
    </row>
    <row r="7" spans="1:11" x14ac:dyDescent="0.25">
      <c r="A7" t="s">
        <v>20</v>
      </c>
      <c r="B7" s="6">
        <v>45873.856022060187</v>
      </c>
      <c r="C7" s="6">
        <v>45879.411592372686</v>
      </c>
      <c r="D7" t="s">
        <v>6</v>
      </c>
      <c r="E7" t="s">
        <v>11</v>
      </c>
      <c r="F7" t="s">
        <v>21</v>
      </c>
      <c r="G7" t="s">
        <v>22</v>
      </c>
      <c r="H7" s="2">
        <f>(Table13[[#This Row],[resolution_date]]-Table13[[#This Row],[submission_date]])*24</f>
        <v>133.33368749998044</v>
      </c>
      <c r="I7" s="7" t="str">
        <f>TEXT(Table13[[#This Row],[submission_date]],"dddd")</f>
        <v>Monday</v>
      </c>
      <c r="J7" t="str">
        <f>TEXT(Table13[[#This Row],[submission_date]],"mmmm")</f>
        <v>August</v>
      </c>
      <c r="K7" t="str">
        <f>TEXT(Table13[[#This Row],[submission_date]],"hh")</f>
        <v>20</v>
      </c>
    </row>
    <row r="8" spans="1:11" x14ac:dyDescent="0.25">
      <c r="A8" t="s">
        <v>23</v>
      </c>
      <c r="B8" s="6">
        <v>45891.443237013889</v>
      </c>
      <c r="C8" s="6">
        <v>45892.591544884257</v>
      </c>
      <c r="D8" t="s">
        <v>24</v>
      </c>
      <c r="E8" t="s">
        <v>25</v>
      </c>
      <c r="F8" t="s">
        <v>26</v>
      </c>
      <c r="G8" t="s">
        <v>22</v>
      </c>
      <c r="H8" s="2">
        <f>(Table13[[#This Row],[resolution_date]]-Table13[[#This Row],[submission_date]])*24</f>
        <v>27.559388888825197</v>
      </c>
      <c r="I8" s="7" t="str">
        <f>TEXT(Table13[[#This Row],[submission_date]],"dddd")</f>
        <v>Friday</v>
      </c>
      <c r="J8" t="str">
        <f>TEXT(Table13[[#This Row],[submission_date]],"mmmm")</f>
        <v>August</v>
      </c>
      <c r="K8" t="str">
        <f>TEXT(Table13[[#This Row],[submission_date]],"hh")</f>
        <v>10</v>
      </c>
    </row>
    <row r="9" spans="1:11" x14ac:dyDescent="0.25">
      <c r="A9" t="s">
        <v>27</v>
      </c>
      <c r="B9" s="6">
        <v>45843.321851516201</v>
      </c>
      <c r="C9" s="6">
        <v>45847.851614560182</v>
      </c>
      <c r="D9" t="s">
        <v>6</v>
      </c>
      <c r="E9" t="s">
        <v>28</v>
      </c>
      <c r="F9" t="s">
        <v>29</v>
      </c>
      <c r="G9" t="s">
        <v>22</v>
      </c>
      <c r="H9" s="2">
        <f>(Table13[[#This Row],[resolution_date]]-Table13[[#This Row],[submission_date]])*24</f>
        <v>108.71431305556325</v>
      </c>
      <c r="I9" s="7" t="str">
        <f>TEXT(Table13[[#This Row],[submission_date]],"dddd")</f>
        <v>Saturday</v>
      </c>
      <c r="J9" t="str">
        <f>TEXT(Table13[[#This Row],[submission_date]],"mmmm")</f>
        <v>July</v>
      </c>
      <c r="K9" t="str">
        <f>TEXT(Table13[[#This Row],[submission_date]],"hh")</f>
        <v>07</v>
      </c>
    </row>
    <row r="10" spans="1:11" x14ac:dyDescent="0.25">
      <c r="A10" t="s">
        <v>30</v>
      </c>
      <c r="B10" s="6">
        <v>45845.695295972226</v>
      </c>
      <c r="C10" s="6">
        <v>45846.419769224536</v>
      </c>
      <c r="D10" t="s">
        <v>14</v>
      </c>
      <c r="E10" t="s">
        <v>28</v>
      </c>
      <c r="F10" t="s">
        <v>31</v>
      </c>
      <c r="G10" t="s">
        <v>9</v>
      </c>
      <c r="H10" s="2">
        <f>(Table13[[#This Row],[resolution_date]]-Table13[[#This Row],[submission_date]])*24</f>
        <v>17.387358055450022</v>
      </c>
      <c r="I10" s="7" t="str">
        <f>TEXT(Table13[[#This Row],[submission_date]],"dddd")</f>
        <v>Monday</v>
      </c>
      <c r="J10" t="str">
        <f>TEXT(Table13[[#This Row],[submission_date]],"mmmm")</f>
        <v>July</v>
      </c>
      <c r="K10" t="str">
        <f>TEXT(Table13[[#This Row],[submission_date]],"hh")</f>
        <v>16</v>
      </c>
    </row>
    <row r="11" spans="1:11" x14ac:dyDescent="0.25">
      <c r="A11" t="s">
        <v>32</v>
      </c>
      <c r="B11" s="6">
        <v>45910.617740428243</v>
      </c>
      <c r="C11" s="6">
        <v>45911.83237329861</v>
      </c>
      <c r="D11" t="s">
        <v>6</v>
      </c>
      <c r="E11" t="s">
        <v>11</v>
      </c>
      <c r="F11" t="s">
        <v>33</v>
      </c>
      <c r="G11" t="s">
        <v>9</v>
      </c>
      <c r="H11" s="2">
        <f>(Table13[[#This Row],[resolution_date]]-Table13[[#This Row],[submission_date]])*24</f>
        <v>29.151188888819888</v>
      </c>
      <c r="I11" s="7" t="str">
        <f>TEXT(Table13[[#This Row],[submission_date]],"dddd")</f>
        <v>Wednesday</v>
      </c>
      <c r="J11" t="str">
        <f>TEXT(Table13[[#This Row],[submission_date]],"mmmm")</f>
        <v>September</v>
      </c>
      <c r="K11" t="str">
        <f>TEXT(Table13[[#This Row],[submission_date]],"hh")</f>
        <v>14</v>
      </c>
    </row>
    <row r="12" spans="1:11" x14ac:dyDescent="0.25">
      <c r="A12" t="s">
        <v>34</v>
      </c>
      <c r="B12" s="6">
        <v>45896.555576689818</v>
      </c>
      <c r="C12" s="6">
        <v>45902.686473993053</v>
      </c>
      <c r="D12" t="s">
        <v>6</v>
      </c>
      <c r="E12" t="s">
        <v>35</v>
      </c>
      <c r="F12" t="s">
        <v>36</v>
      </c>
      <c r="G12" t="s">
        <v>22</v>
      </c>
      <c r="H12" s="2">
        <f>(Table13[[#This Row],[resolution_date]]-Table13[[#This Row],[submission_date]])*24</f>
        <v>147.14153527765302</v>
      </c>
      <c r="I12" s="7" t="str">
        <f>TEXT(Table13[[#This Row],[submission_date]],"dddd")</f>
        <v>Wednesday</v>
      </c>
      <c r="J12" t="str">
        <f>TEXT(Table13[[#This Row],[submission_date]],"mmmm")</f>
        <v>August</v>
      </c>
      <c r="K12" t="str">
        <f>TEXT(Table13[[#This Row],[submission_date]],"hh")</f>
        <v>13</v>
      </c>
    </row>
    <row r="13" spans="1:11" x14ac:dyDescent="0.25">
      <c r="A13" t="s">
        <v>37</v>
      </c>
      <c r="B13" s="6">
        <v>45832.080772222223</v>
      </c>
      <c r="C13" s="6">
        <v>45832.240656608796</v>
      </c>
      <c r="D13" t="s">
        <v>38</v>
      </c>
      <c r="E13" t="s">
        <v>39</v>
      </c>
      <c r="F13" t="s">
        <v>40</v>
      </c>
      <c r="G13" t="s">
        <v>4</v>
      </c>
      <c r="H13" s="2">
        <f>(Table13[[#This Row],[resolution_date]]-Table13[[#This Row],[submission_date]])*24</f>
        <v>3.8372252777335234</v>
      </c>
      <c r="I13" s="7" t="str">
        <f>TEXT(Table13[[#This Row],[submission_date]],"dddd")</f>
        <v>Tuesday</v>
      </c>
      <c r="J13" t="str">
        <f>TEXT(Table13[[#This Row],[submission_date]],"mmmm")</f>
        <v>June</v>
      </c>
      <c r="K13" t="str">
        <f>TEXT(Table13[[#This Row],[submission_date]],"hh")</f>
        <v>01</v>
      </c>
    </row>
    <row r="14" spans="1:11" x14ac:dyDescent="0.25">
      <c r="A14" t="s">
        <v>41</v>
      </c>
      <c r="B14" s="6">
        <v>45836.410961250003</v>
      </c>
      <c r="C14" s="6">
        <v>45837.124087824071</v>
      </c>
      <c r="D14" t="s">
        <v>38</v>
      </c>
      <c r="E14" t="s">
        <v>2</v>
      </c>
      <c r="F14" t="s">
        <v>42</v>
      </c>
      <c r="G14" t="s">
        <v>9</v>
      </c>
      <c r="H14" s="2">
        <f>(Table13[[#This Row],[resolution_date]]-Table13[[#This Row],[submission_date]])*24</f>
        <v>17.115037777635735</v>
      </c>
      <c r="I14" s="7" t="str">
        <f>TEXT(Table13[[#This Row],[submission_date]],"dddd")</f>
        <v>Saturday</v>
      </c>
      <c r="J14" t="str">
        <f>TEXT(Table13[[#This Row],[submission_date]],"mmmm")</f>
        <v>June</v>
      </c>
      <c r="K14" t="str">
        <f>TEXT(Table13[[#This Row],[submission_date]],"hh")</f>
        <v>09</v>
      </c>
    </row>
    <row r="15" spans="1:11" x14ac:dyDescent="0.25">
      <c r="A15" t="s">
        <v>43</v>
      </c>
      <c r="B15" s="6">
        <v>45860.381175960647</v>
      </c>
      <c r="C15" s="6">
        <v>45864.663007314812</v>
      </c>
      <c r="D15" t="s">
        <v>6</v>
      </c>
      <c r="E15" t="s">
        <v>28</v>
      </c>
      <c r="F15" t="s">
        <v>44</v>
      </c>
      <c r="G15" t="s">
        <v>22</v>
      </c>
      <c r="H15" s="2">
        <f>(Table13[[#This Row],[resolution_date]]-Table13[[#This Row],[submission_date]])*24</f>
        <v>102.76395249995403</v>
      </c>
      <c r="I15" s="7" t="str">
        <f>TEXT(Table13[[#This Row],[submission_date]],"dddd")</f>
        <v>Tuesday</v>
      </c>
      <c r="J15" t="str">
        <f>TEXT(Table13[[#This Row],[submission_date]],"mmmm")</f>
        <v>July</v>
      </c>
      <c r="K15" t="str">
        <f>TEXT(Table13[[#This Row],[submission_date]],"hh")</f>
        <v>09</v>
      </c>
    </row>
    <row r="16" spans="1:11" x14ac:dyDescent="0.25">
      <c r="A16" t="s">
        <v>45</v>
      </c>
      <c r="B16" s="6">
        <v>45847.939561203704</v>
      </c>
      <c r="C16" s="6">
        <v>45848.049673634261</v>
      </c>
      <c r="D16" t="s">
        <v>6</v>
      </c>
      <c r="E16" t="s">
        <v>7</v>
      </c>
      <c r="F16" t="s">
        <v>46</v>
      </c>
      <c r="G16" t="s">
        <v>4</v>
      </c>
      <c r="H16" s="2">
        <f>(Table13[[#This Row],[resolution_date]]-Table13[[#This Row],[submission_date]])*24</f>
        <v>2.6426983333658427</v>
      </c>
      <c r="I16" s="7" t="str">
        <f>TEXT(Table13[[#This Row],[submission_date]],"dddd")</f>
        <v>Wednesday</v>
      </c>
      <c r="J16" t="str">
        <f>TEXT(Table13[[#This Row],[submission_date]],"mmmm")</f>
        <v>July</v>
      </c>
      <c r="K16" t="str">
        <f>TEXT(Table13[[#This Row],[submission_date]],"hh")</f>
        <v>22</v>
      </c>
    </row>
    <row r="17" spans="1:11" x14ac:dyDescent="0.25">
      <c r="A17" t="s">
        <v>47</v>
      </c>
      <c r="B17" s="6">
        <v>45861.940402638887</v>
      </c>
      <c r="C17" s="6">
        <v>45862.05557290509</v>
      </c>
      <c r="D17" t="s">
        <v>6</v>
      </c>
      <c r="E17" t="s">
        <v>48</v>
      </c>
      <c r="F17" t="s">
        <v>49</v>
      </c>
      <c r="G17" t="s">
        <v>4</v>
      </c>
      <c r="H17" s="2">
        <f>(Table13[[#This Row],[resolution_date]]-Table13[[#This Row],[submission_date]])*24</f>
        <v>2.7640863888664171</v>
      </c>
      <c r="I17" s="7" t="str">
        <f>TEXT(Table13[[#This Row],[submission_date]],"dddd")</f>
        <v>Wednesday</v>
      </c>
      <c r="J17" t="str">
        <f>TEXT(Table13[[#This Row],[submission_date]],"mmmm")</f>
        <v>July</v>
      </c>
      <c r="K17" t="str">
        <f>TEXT(Table13[[#This Row],[submission_date]],"hh")</f>
        <v>22</v>
      </c>
    </row>
    <row r="18" spans="1:11" x14ac:dyDescent="0.25">
      <c r="A18" t="s">
        <v>50</v>
      </c>
      <c r="B18" s="6">
        <v>45875.49450458333</v>
      </c>
      <c r="C18" s="6">
        <v>45880.346445115742</v>
      </c>
      <c r="D18" t="s">
        <v>6</v>
      </c>
      <c r="E18" t="s">
        <v>28</v>
      </c>
      <c r="F18" t="s">
        <v>51</v>
      </c>
      <c r="G18" t="s">
        <v>22</v>
      </c>
      <c r="H18" s="2">
        <f>(Table13[[#This Row],[resolution_date]]-Table13[[#This Row],[submission_date]])*24</f>
        <v>116.44657277787337</v>
      </c>
      <c r="I18" s="7" t="str">
        <f>TEXT(Table13[[#This Row],[submission_date]],"dddd")</f>
        <v>Wednesday</v>
      </c>
      <c r="J18" t="str">
        <f>TEXT(Table13[[#This Row],[submission_date]],"mmmm")</f>
        <v>August</v>
      </c>
      <c r="K18" t="str">
        <f>TEXT(Table13[[#This Row],[submission_date]],"hh")</f>
        <v>11</v>
      </c>
    </row>
    <row r="19" spans="1:11" x14ac:dyDescent="0.25">
      <c r="A19" t="s">
        <v>52</v>
      </c>
      <c r="B19" s="6">
        <v>45838.695992071756</v>
      </c>
      <c r="C19" s="6">
        <v>45840.859242071761</v>
      </c>
      <c r="D19" t="s">
        <v>53</v>
      </c>
      <c r="E19" t="s">
        <v>2</v>
      </c>
      <c r="F19" t="s">
        <v>54</v>
      </c>
      <c r="G19" t="s">
        <v>22</v>
      </c>
      <c r="H19" s="2">
        <f>(Table13[[#This Row],[resolution_date]]-Table13[[#This Row],[submission_date]])*24</f>
        <v>51.918000000121538</v>
      </c>
      <c r="I19" s="7" t="str">
        <f>TEXT(Table13[[#This Row],[submission_date]],"dddd")</f>
        <v>Monday</v>
      </c>
      <c r="J19" t="str">
        <f>TEXT(Table13[[#This Row],[submission_date]],"mmmm")</f>
        <v>June</v>
      </c>
      <c r="K19" t="str">
        <f>TEXT(Table13[[#This Row],[submission_date]],"hh")</f>
        <v>16</v>
      </c>
    </row>
    <row r="20" spans="1:11" x14ac:dyDescent="0.25">
      <c r="A20" t="s">
        <v>55</v>
      </c>
      <c r="B20" s="6">
        <v>45838.960468067133</v>
      </c>
      <c r="C20" s="6">
        <v>45842.491957118058</v>
      </c>
      <c r="D20" t="s">
        <v>38</v>
      </c>
      <c r="E20" t="s">
        <v>15</v>
      </c>
      <c r="F20" t="s">
        <v>56</v>
      </c>
      <c r="G20" t="s">
        <v>22</v>
      </c>
      <c r="H20" s="2">
        <f>(Table13[[#This Row],[resolution_date]]-Table13[[#This Row],[submission_date]])*24</f>
        <v>84.755737222207244</v>
      </c>
      <c r="I20" s="7" t="str">
        <f>TEXT(Table13[[#This Row],[submission_date]],"dddd")</f>
        <v>Monday</v>
      </c>
      <c r="J20" t="str">
        <f>TEXT(Table13[[#This Row],[submission_date]],"mmmm")</f>
        <v>June</v>
      </c>
      <c r="K20" t="str">
        <f>TEXT(Table13[[#This Row],[submission_date]],"hh")</f>
        <v>23</v>
      </c>
    </row>
    <row r="21" spans="1:11" x14ac:dyDescent="0.25">
      <c r="A21" t="s">
        <v>57</v>
      </c>
      <c r="B21" s="6">
        <v>45841.310591307869</v>
      </c>
      <c r="C21" s="6">
        <v>45842.999058043984</v>
      </c>
      <c r="D21" t="s">
        <v>14</v>
      </c>
      <c r="E21" t="s">
        <v>15</v>
      </c>
      <c r="F21" t="s">
        <v>58</v>
      </c>
      <c r="G21" t="s">
        <v>9</v>
      </c>
      <c r="H21" s="2">
        <f>(Table13[[#This Row],[resolution_date]]-Table13[[#This Row],[submission_date]])*24</f>
        <v>40.523201666772366</v>
      </c>
      <c r="I21" s="7" t="str">
        <f>TEXT(Table13[[#This Row],[submission_date]],"dddd")</f>
        <v>Thursday</v>
      </c>
      <c r="J21" t="str">
        <f>TEXT(Table13[[#This Row],[submission_date]],"mmmm")</f>
        <v>July</v>
      </c>
      <c r="K21" t="str">
        <f>TEXT(Table13[[#This Row],[submission_date]],"hh")</f>
        <v>07</v>
      </c>
    </row>
    <row r="22" spans="1:11" x14ac:dyDescent="0.25">
      <c r="A22" t="s">
        <v>59</v>
      </c>
      <c r="B22" s="6">
        <v>45831.951130162037</v>
      </c>
      <c r="C22" s="6">
        <v>45833.462965312501</v>
      </c>
      <c r="D22" t="s">
        <v>6</v>
      </c>
      <c r="E22" t="s">
        <v>7</v>
      </c>
      <c r="F22" t="s">
        <v>60</v>
      </c>
      <c r="G22" t="s">
        <v>9</v>
      </c>
      <c r="H22" s="2">
        <f>(Table13[[#This Row],[resolution_date]]-Table13[[#This Row],[submission_date]])*24</f>
        <v>36.284043611143716</v>
      </c>
      <c r="I22" s="7" t="str">
        <f>TEXT(Table13[[#This Row],[submission_date]],"dddd")</f>
        <v>Monday</v>
      </c>
      <c r="J22" t="str">
        <f>TEXT(Table13[[#This Row],[submission_date]],"mmmm")</f>
        <v>June</v>
      </c>
      <c r="K22" t="str">
        <f>TEXT(Table13[[#This Row],[submission_date]],"hh")</f>
        <v>22</v>
      </c>
    </row>
    <row r="23" spans="1:11" x14ac:dyDescent="0.25">
      <c r="A23" t="s">
        <v>61</v>
      </c>
      <c r="B23" s="6">
        <v>45846.482601527779</v>
      </c>
      <c r="C23" s="6">
        <v>45848.392504687501</v>
      </c>
      <c r="D23" t="s">
        <v>6</v>
      </c>
      <c r="E23" t="s">
        <v>2</v>
      </c>
      <c r="F23" t="s">
        <v>62</v>
      </c>
      <c r="G23" t="s">
        <v>9</v>
      </c>
      <c r="H23" s="2">
        <f>(Table13[[#This Row],[resolution_date]]-Table13[[#This Row],[submission_date]])*24</f>
        <v>45.837675833317917</v>
      </c>
      <c r="I23" s="7" t="str">
        <f>TEXT(Table13[[#This Row],[submission_date]],"dddd")</f>
        <v>Tuesday</v>
      </c>
      <c r="J23" t="str">
        <f>TEXT(Table13[[#This Row],[submission_date]],"mmmm")</f>
        <v>July</v>
      </c>
      <c r="K23" t="str">
        <f>TEXT(Table13[[#This Row],[submission_date]],"hh")</f>
        <v>11</v>
      </c>
    </row>
    <row r="24" spans="1:11" x14ac:dyDescent="0.25">
      <c r="A24" t="s">
        <v>63</v>
      </c>
      <c r="B24" s="6">
        <v>45830.978999976855</v>
      </c>
      <c r="C24" s="6">
        <v>45831.690442743056</v>
      </c>
      <c r="D24" t="s">
        <v>6</v>
      </c>
      <c r="E24" t="s">
        <v>35</v>
      </c>
      <c r="F24" t="s">
        <v>64</v>
      </c>
      <c r="G24" t="s">
        <v>9</v>
      </c>
      <c r="H24" s="2">
        <f>(Table13[[#This Row],[resolution_date]]-Table13[[#This Row],[submission_date]])*24</f>
        <v>17.074626388843171</v>
      </c>
      <c r="I24" s="7" t="str">
        <f>TEXT(Table13[[#This Row],[submission_date]],"dddd")</f>
        <v>Sunday</v>
      </c>
      <c r="J24" t="str">
        <f>TEXT(Table13[[#This Row],[submission_date]],"mmmm")</f>
        <v>June</v>
      </c>
      <c r="K24" t="str">
        <f>TEXT(Table13[[#This Row],[submission_date]],"hh")</f>
        <v>23</v>
      </c>
    </row>
    <row r="25" spans="1:11" x14ac:dyDescent="0.25">
      <c r="A25" t="s">
        <v>65</v>
      </c>
      <c r="B25" s="6">
        <v>45898.519360115744</v>
      </c>
      <c r="C25" s="6">
        <v>45900.18315665509</v>
      </c>
      <c r="D25" t="s">
        <v>6</v>
      </c>
      <c r="E25" t="s">
        <v>18</v>
      </c>
      <c r="F25" t="s">
        <v>66</v>
      </c>
      <c r="G25" t="s">
        <v>9</v>
      </c>
      <c r="H25" s="2">
        <f>(Table13[[#This Row],[resolution_date]]-Table13[[#This Row],[submission_date]])*24</f>
        <v>39.931116944295354</v>
      </c>
      <c r="I25" s="7" t="str">
        <f>TEXT(Table13[[#This Row],[submission_date]],"dddd")</f>
        <v>Friday</v>
      </c>
      <c r="J25" t="str">
        <f>TEXT(Table13[[#This Row],[submission_date]],"mmmm")</f>
        <v>August</v>
      </c>
      <c r="K25" t="str">
        <f>TEXT(Table13[[#This Row],[submission_date]],"hh")</f>
        <v>12</v>
      </c>
    </row>
    <row r="26" spans="1:11" x14ac:dyDescent="0.25">
      <c r="A26" t="s">
        <v>67</v>
      </c>
      <c r="B26" s="6">
        <v>45850.151124652781</v>
      </c>
      <c r="C26" s="6">
        <v>45854.404572488427</v>
      </c>
      <c r="D26" t="s">
        <v>38</v>
      </c>
      <c r="E26" t="s">
        <v>15</v>
      </c>
      <c r="F26" t="s">
        <v>68</v>
      </c>
      <c r="G26" t="s">
        <v>22</v>
      </c>
      <c r="H26" s="2">
        <f>(Table13[[#This Row],[resolution_date]]-Table13[[#This Row],[submission_date]])*24</f>
        <v>102.08274805551628</v>
      </c>
      <c r="I26" s="7" t="str">
        <f>TEXT(Table13[[#This Row],[submission_date]],"dddd")</f>
        <v>Saturday</v>
      </c>
      <c r="J26" t="str">
        <f>TEXT(Table13[[#This Row],[submission_date]],"mmmm")</f>
        <v>July</v>
      </c>
      <c r="K26" t="str">
        <f>TEXT(Table13[[#This Row],[submission_date]],"hh")</f>
        <v>03</v>
      </c>
    </row>
    <row r="27" spans="1:11" x14ac:dyDescent="0.25">
      <c r="A27" t="s">
        <v>69</v>
      </c>
      <c r="B27" s="6">
        <v>45851.238076643516</v>
      </c>
      <c r="C27" s="6">
        <v>45852.816654155089</v>
      </c>
      <c r="D27" t="s">
        <v>6</v>
      </c>
      <c r="E27" t="s">
        <v>7</v>
      </c>
      <c r="F27" t="s">
        <v>70</v>
      </c>
      <c r="G27" t="s">
        <v>9</v>
      </c>
      <c r="H27" s="2">
        <f>(Table13[[#This Row],[resolution_date]]-Table13[[#This Row],[submission_date]])*24</f>
        <v>37.88586027774727</v>
      </c>
      <c r="I27" s="7" t="str">
        <f>TEXT(Table13[[#This Row],[submission_date]],"dddd")</f>
        <v>Sunday</v>
      </c>
      <c r="J27" t="str">
        <f>TEXT(Table13[[#This Row],[submission_date]],"mmmm")</f>
        <v>July</v>
      </c>
      <c r="K27" t="str">
        <f>TEXT(Table13[[#This Row],[submission_date]],"hh")</f>
        <v>05</v>
      </c>
    </row>
    <row r="28" spans="1:11" x14ac:dyDescent="0.25">
      <c r="A28" t="s">
        <v>71</v>
      </c>
      <c r="B28" s="6">
        <v>45832.01864923611</v>
      </c>
      <c r="C28" s="6">
        <v>45832.510323969909</v>
      </c>
      <c r="D28" t="s">
        <v>38</v>
      </c>
      <c r="E28" t="s">
        <v>18</v>
      </c>
      <c r="F28" t="s">
        <v>72</v>
      </c>
      <c r="G28" t="s">
        <v>4</v>
      </c>
      <c r="H28" s="2">
        <f>(Table13[[#This Row],[resolution_date]]-Table13[[#This Row],[submission_date]])*24</f>
        <v>11.800193611183204</v>
      </c>
      <c r="I28" s="7" t="str">
        <f>TEXT(Table13[[#This Row],[submission_date]],"dddd")</f>
        <v>Tuesday</v>
      </c>
      <c r="J28" t="str">
        <f>TEXT(Table13[[#This Row],[submission_date]],"mmmm")</f>
        <v>June</v>
      </c>
      <c r="K28" t="str">
        <f>TEXT(Table13[[#This Row],[submission_date]],"hh")</f>
        <v>00</v>
      </c>
    </row>
    <row r="29" spans="1:11" x14ac:dyDescent="0.25">
      <c r="A29" t="s">
        <v>73</v>
      </c>
      <c r="B29" s="6">
        <v>45841.81186765046</v>
      </c>
      <c r="C29" s="6">
        <v>45843.718911377313</v>
      </c>
      <c r="D29" t="s">
        <v>74</v>
      </c>
      <c r="E29" t="s">
        <v>7</v>
      </c>
      <c r="F29" t="s">
        <v>75</v>
      </c>
      <c r="G29" t="s">
        <v>9</v>
      </c>
      <c r="H29" s="2">
        <f>(Table13[[#This Row],[resolution_date]]-Table13[[#This Row],[submission_date]])*24</f>
        <v>45.769049444468692</v>
      </c>
      <c r="I29" s="7" t="str">
        <f>TEXT(Table13[[#This Row],[submission_date]],"dddd")</f>
        <v>Thursday</v>
      </c>
      <c r="J29" t="str">
        <f>TEXT(Table13[[#This Row],[submission_date]],"mmmm")</f>
        <v>July</v>
      </c>
      <c r="K29" t="str">
        <f>TEXT(Table13[[#This Row],[submission_date]],"hh")</f>
        <v>19</v>
      </c>
    </row>
    <row r="30" spans="1:11" x14ac:dyDescent="0.25">
      <c r="A30" t="s">
        <v>76</v>
      </c>
      <c r="B30" s="6">
        <v>45915.543717083332</v>
      </c>
      <c r="C30" s="6">
        <v>45917.331455462961</v>
      </c>
      <c r="D30" t="s">
        <v>1</v>
      </c>
      <c r="E30" t="s">
        <v>2</v>
      </c>
      <c r="F30" t="s">
        <v>77</v>
      </c>
      <c r="G30" t="s">
        <v>22</v>
      </c>
      <c r="H30" s="2">
        <f>(Table13[[#This Row],[resolution_date]]-Table13[[#This Row],[submission_date]])*24</f>
        <v>42.905721111106686</v>
      </c>
      <c r="I30" s="7" t="str">
        <f>TEXT(Table13[[#This Row],[submission_date]],"dddd")</f>
        <v>Monday</v>
      </c>
      <c r="J30" t="str">
        <f>TEXT(Table13[[#This Row],[submission_date]],"mmmm")</f>
        <v>September</v>
      </c>
      <c r="K30" t="str">
        <f>TEXT(Table13[[#This Row],[submission_date]],"hh")</f>
        <v>13</v>
      </c>
    </row>
    <row r="31" spans="1:11" x14ac:dyDescent="0.25">
      <c r="A31" t="s">
        <v>78</v>
      </c>
      <c r="B31" s="6">
        <v>45896.914734548613</v>
      </c>
      <c r="C31" s="6">
        <v>45898.277047488424</v>
      </c>
      <c r="D31" t="s">
        <v>6</v>
      </c>
      <c r="E31" t="s">
        <v>11</v>
      </c>
      <c r="F31" t="s">
        <v>79</v>
      </c>
      <c r="G31" t="s">
        <v>9</v>
      </c>
      <c r="H31" s="2">
        <f>(Table13[[#This Row],[resolution_date]]-Table13[[#This Row],[submission_date]])*24</f>
        <v>32.695510555466171</v>
      </c>
      <c r="I31" s="7" t="str">
        <f>TEXT(Table13[[#This Row],[submission_date]],"dddd")</f>
        <v>Wednesday</v>
      </c>
      <c r="J31" t="str">
        <f>TEXT(Table13[[#This Row],[submission_date]],"mmmm")</f>
        <v>August</v>
      </c>
      <c r="K31" t="str">
        <f>TEXT(Table13[[#This Row],[submission_date]],"hh")</f>
        <v>21</v>
      </c>
    </row>
    <row r="32" spans="1:11" x14ac:dyDescent="0.25">
      <c r="A32" t="s">
        <v>80</v>
      </c>
      <c r="B32" s="6">
        <v>45899.845190624997</v>
      </c>
      <c r="C32" s="6">
        <v>45906.109850624998</v>
      </c>
      <c r="D32" t="s">
        <v>38</v>
      </c>
      <c r="E32" t="s">
        <v>11</v>
      </c>
      <c r="F32" t="s">
        <v>81</v>
      </c>
      <c r="G32" t="s">
        <v>22</v>
      </c>
      <c r="H32" s="2">
        <f>(Table13[[#This Row],[resolution_date]]-Table13[[#This Row],[submission_date]])*24</f>
        <v>150.35184000001755</v>
      </c>
      <c r="I32" s="7" t="str">
        <f>TEXT(Table13[[#This Row],[submission_date]],"dddd")</f>
        <v>Saturday</v>
      </c>
      <c r="J32" t="str">
        <f>TEXT(Table13[[#This Row],[submission_date]],"mmmm")</f>
        <v>August</v>
      </c>
      <c r="K32" t="str">
        <f>TEXT(Table13[[#This Row],[submission_date]],"hh")</f>
        <v>20</v>
      </c>
    </row>
    <row r="33" spans="1:11" x14ac:dyDescent="0.25">
      <c r="A33" t="s">
        <v>82</v>
      </c>
      <c r="B33" s="6">
        <v>45893.999277337964</v>
      </c>
      <c r="C33" s="6">
        <v>45894.316192916667</v>
      </c>
      <c r="D33" t="s">
        <v>6</v>
      </c>
      <c r="E33" t="s">
        <v>7</v>
      </c>
      <c r="F33" t="s">
        <v>83</v>
      </c>
      <c r="G33" t="s">
        <v>4</v>
      </c>
      <c r="H33" s="2">
        <f>(Table13[[#This Row],[resolution_date]]-Table13[[#This Row],[submission_date]])*24</f>
        <v>7.6059738888870925</v>
      </c>
      <c r="I33" s="7" t="str">
        <f>TEXT(Table13[[#This Row],[submission_date]],"dddd")</f>
        <v>Sunday</v>
      </c>
      <c r="J33" t="str">
        <f>TEXT(Table13[[#This Row],[submission_date]],"mmmm")</f>
        <v>August</v>
      </c>
      <c r="K33" t="str">
        <f>TEXT(Table13[[#This Row],[submission_date]],"hh")</f>
        <v>23</v>
      </c>
    </row>
    <row r="34" spans="1:11" x14ac:dyDescent="0.25">
      <c r="A34" t="s">
        <v>84</v>
      </c>
      <c r="B34" s="6">
        <v>45849.75739244213</v>
      </c>
      <c r="C34" s="6">
        <v>45855.27821527778</v>
      </c>
      <c r="D34" t="s">
        <v>38</v>
      </c>
      <c r="E34" t="s">
        <v>28</v>
      </c>
      <c r="F34" t="s">
        <v>85</v>
      </c>
      <c r="G34" t="s">
        <v>22</v>
      </c>
      <c r="H34" s="2">
        <f>(Table13[[#This Row],[resolution_date]]-Table13[[#This Row],[submission_date]])*24</f>
        <v>132.49974805559032</v>
      </c>
      <c r="I34" s="7" t="str">
        <f>TEXT(Table13[[#This Row],[submission_date]],"dddd")</f>
        <v>Friday</v>
      </c>
      <c r="J34" t="str">
        <f>TEXT(Table13[[#This Row],[submission_date]],"mmmm")</f>
        <v>July</v>
      </c>
      <c r="K34" t="str">
        <f>TEXT(Table13[[#This Row],[submission_date]],"hh")</f>
        <v>18</v>
      </c>
    </row>
    <row r="35" spans="1:11" x14ac:dyDescent="0.25">
      <c r="A35" t="s">
        <v>86</v>
      </c>
      <c r="B35" s="6">
        <v>45904.814613437498</v>
      </c>
      <c r="C35" s="6">
        <v>45910.228323379626</v>
      </c>
      <c r="D35" t="s">
        <v>74</v>
      </c>
      <c r="E35" t="s">
        <v>25</v>
      </c>
      <c r="F35" t="s">
        <v>87</v>
      </c>
      <c r="G35" t="s">
        <v>22</v>
      </c>
      <c r="H35" s="2">
        <f>(Table13[[#This Row],[resolution_date]]-Table13[[#This Row],[submission_date]])*24</f>
        <v>129.92903861106606</v>
      </c>
      <c r="I35" s="7" t="str">
        <f>TEXT(Table13[[#This Row],[submission_date]],"dddd")</f>
        <v>Thursday</v>
      </c>
      <c r="J35" t="str">
        <f>TEXT(Table13[[#This Row],[submission_date]],"mmmm")</f>
        <v>September</v>
      </c>
      <c r="K35" t="str">
        <f>TEXT(Table13[[#This Row],[submission_date]],"hh")</f>
        <v>19</v>
      </c>
    </row>
    <row r="36" spans="1:11" x14ac:dyDescent="0.25">
      <c r="A36" t="s">
        <v>88</v>
      </c>
      <c r="B36" s="6">
        <v>45893.712596354169</v>
      </c>
      <c r="C36" s="6">
        <v>45899.821769236114</v>
      </c>
      <c r="D36" t="s">
        <v>6</v>
      </c>
      <c r="E36" t="s">
        <v>18</v>
      </c>
      <c r="F36" t="s">
        <v>89</v>
      </c>
      <c r="G36" t="s">
        <v>22</v>
      </c>
      <c r="H36" s="2">
        <f>(Table13[[#This Row],[resolution_date]]-Table13[[#This Row],[submission_date]])*24</f>
        <v>146.62014916667249</v>
      </c>
      <c r="I36" s="7" t="str">
        <f>TEXT(Table13[[#This Row],[submission_date]],"dddd")</f>
        <v>Sunday</v>
      </c>
      <c r="J36" t="str">
        <f>TEXT(Table13[[#This Row],[submission_date]],"mmmm")</f>
        <v>August</v>
      </c>
      <c r="K36" t="str">
        <f>TEXT(Table13[[#This Row],[submission_date]],"hh")</f>
        <v>17</v>
      </c>
    </row>
    <row r="37" spans="1:11" x14ac:dyDescent="0.25">
      <c r="A37" t="s">
        <v>90</v>
      </c>
      <c r="B37" s="6">
        <v>45838.741699282407</v>
      </c>
      <c r="C37" s="6">
        <v>45839.817210752313</v>
      </c>
      <c r="D37" t="s">
        <v>14</v>
      </c>
      <c r="E37" t="s">
        <v>7</v>
      </c>
      <c r="F37" t="s">
        <v>91</v>
      </c>
      <c r="G37" t="s">
        <v>22</v>
      </c>
      <c r="H37" s="2">
        <f>(Table13[[#This Row],[resolution_date]]-Table13[[#This Row],[submission_date]])*24</f>
        <v>25.812275277741719</v>
      </c>
      <c r="I37" s="7" t="str">
        <f>TEXT(Table13[[#This Row],[submission_date]],"dddd")</f>
        <v>Monday</v>
      </c>
      <c r="J37" t="str">
        <f>TEXT(Table13[[#This Row],[submission_date]],"mmmm")</f>
        <v>June</v>
      </c>
      <c r="K37" t="str">
        <f>TEXT(Table13[[#This Row],[submission_date]],"hh")</f>
        <v>17</v>
      </c>
    </row>
    <row r="38" spans="1:11" x14ac:dyDescent="0.25">
      <c r="A38" t="s">
        <v>92</v>
      </c>
      <c r="B38" s="6">
        <v>45909.36557869213</v>
      </c>
      <c r="C38" s="6">
        <v>45913.263069328706</v>
      </c>
      <c r="D38" t="s">
        <v>6</v>
      </c>
      <c r="E38" t="s">
        <v>39</v>
      </c>
      <c r="F38" t="s">
        <v>93</v>
      </c>
      <c r="G38" t="s">
        <v>22</v>
      </c>
      <c r="H38" s="2">
        <f>(Table13[[#This Row],[resolution_date]]-Table13[[#This Row],[submission_date]])*24</f>
        <v>93.53977527783718</v>
      </c>
      <c r="I38" s="7" t="str">
        <f>TEXT(Table13[[#This Row],[submission_date]],"dddd")</f>
        <v>Tuesday</v>
      </c>
      <c r="J38" t="str">
        <f>TEXT(Table13[[#This Row],[submission_date]],"mmmm")</f>
        <v>September</v>
      </c>
      <c r="K38" t="str">
        <f>TEXT(Table13[[#This Row],[submission_date]],"hh")</f>
        <v>08</v>
      </c>
    </row>
    <row r="39" spans="1:11" x14ac:dyDescent="0.25">
      <c r="A39" t="s">
        <v>94</v>
      </c>
      <c r="B39" s="6">
        <v>45880.455971180556</v>
      </c>
      <c r="C39" s="6">
        <v>45886.671748993052</v>
      </c>
      <c r="D39" t="s">
        <v>1</v>
      </c>
      <c r="E39" t="s">
        <v>35</v>
      </c>
      <c r="F39" t="s">
        <v>95</v>
      </c>
      <c r="G39" t="s">
        <v>22</v>
      </c>
      <c r="H39" s="2">
        <f>(Table13[[#This Row],[resolution_date]]-Table13[[#This Row],[submission_date]])*24</f>
        <v>149.17866749991663</v>
      </c>
      <c r="I39" s="7" t="str">
        <f>TEXT(Table13[[#This Row],[submission_date]],"dddd")</f>
        <v>Monday</v>
      </c>
      <c r="J39" t="str">
        <f>TEXT(Table13[[#This Row],[submission_date]],"mmmm")</f>
        <v>August</v>
      </c>
      <c r="K39" t="str">
        <f>TEXT(Table13[[#This Row],[submission_date]],"hh")</f>
        <v>10</v>
      </c>
    </row>
    <row r="40" spans="1:11" x14ac:dyDescent="0.25">
      <c r="A40" t="s">
        <v>96</v>
      </c>
      <c r="B40" s="6">
        <v>45901.680695057868</v>
      </c>
      <c r="C40" s="6">
        <v>45902.113242870371</v>
      </c>
      <c r="D40" t="s">
        <v>6</v>
      </c>
      <c r="E40" t="s">
        <v>25</v>
      </c>
      <c r="F40" t="s">
        <v>97</v>
      </c>
      <c r="G40" t="s">
        <v>9</v>
      </c>
      <c r="H40" s="2">
        <f>(Table13[[#This Row],[resolution_date]]-Table13[[#This Row],[submission_date]])*24</f>
        <v>10.381147500069346</v>
      </c>
      <c r="I40" s="7" t="str">
        <f>TEXT(Table13[[#This Row],[submission_date]],"dddd")</f>
        <v>Monday</v>
      </c>
      <c r="J40" t="str">
        <f>TEXT(Table13[[#This Row],[submission_date]],"mmmm")</f>
        <v>September</v>
      </c>
      <c r="K40" t="str">
        <f>TEXT(Table13[[#This Row],[submission_date]],"hh")</f>
        <v>16</v>
      </c>
    </row>
    <row r="41" spans="1:11" x14ac:dyDescent="0.25">
      <c r="A41" t="s">
        <v>98</v>
      </c>
      <c r="B41" s="6">
        <v>45883.854248391202</v>
      </c>
      <c r="C41" s="6">
        <v>45884.364103043983</v>
      </c>
      <c r="D41" t="s">
        <v>24</v>
      </c>
      <c r="E41" t="s">
        <v>28</v>
      </c>
      <c r="F41" t="s">
        <v>99</v>
      </c>
      <c r="G41" t="s">
        <v>9</v>
      </c>
      <c r="H41" s="2">
        <f>(Table13[[#This Row],[resolution_date]]-Table13[[#This Row],[submission_date]])*24</f>
        <v>12.236511666735169</v>
      </c>
      <c r="I41" s="7" t="str">
        <f>TEXT(Table13[[#This Row],[submission_date]],"dddd")</f>
        <v>Thursday</v>
      </c>
      <c r="J41" t="str">
        <f>TEXT(Table13[[#This Row],[submission_date]],"mmmm")</f>
        <v>August</v>
      </c>
      <c r="K41" t="str">
        <f>TEXT(Table13[[#This Row],[submission_date]],"hh")</f>
        <v>20</v>
      </c>
    </row>
    <row r="42" spans="1:11" x14ac:dyDescent="0.25">
      <c r="A42" t="s">
        <v>100</v>
      </c>
      <c r="B42" s="6">
        <v>45905.24280886574</v>
      </c>
      <c r="C42" s="6">
        <v>45906.957953680554</v>
      </c>
      <c r="D42" t="s">
        <v>38</v>
      </c>
      <c r="E42" t="s">
        <v>2</v>
      </c>
      <c r="F42" t="s">
        <v>101</v>
      </c>
      <c r="G42" t="s">
        <v>9</v>
      </c>
      <c r="H42" s="2">
        <f>(Table13[[#This Row],[resolution_date]]-Table13[[#This Row],[submission_date]])*24</f>
        <v>41.163475555542391</v>
      </c>
      <c r="I42" s="7" t="str">
        <f>TEXT(Table13[[#This Row],[submission_date]],"dddd")</f>
        <v>Friday</v>
      </c>
      <c r="J42" t="str">
        <f>TEXT(Table13[[#This Row],[submission_date]],"mmmm")</f>
        <v>September</v>
      </c>
      <c r="K42" t="str">
        <f>TEXT(Table13[[#This Row],[submission_date]],"hh")</f>
        <v>05</v>
      </c>
    </row>
    <row r="43" spans="1:11" x14ac:dyDescent="0.25">
      <c r="A43" t="s">
        <v>102</v>
      </c>
      <c r="B43" s="6">
        <v>45913.768400347224</v>
      </c>
      <c r="C43" s="6">
        <v>45914.807395509262</v>
      </c>
      <c r="D43" t="s">
        <v>14</v>
      </c>
      <c r="E43" t="s">
        <v>7</v>
      </c>
      <c r="F43" t="s">
        <v>103</v>
      </c>
      <c r="G43" t="s">
        <v>22</v>
      </c>
      <c r="H43" s="2">
        <f>(Table13[[#This Row],[resolution_date]]-Table13[[#This Row],[submission_date]])*24</f>
        <v>24.935883888916578</v>
      </c>
      <c r="I43" s="7" t="str">
        <f>TEXT(Table13[[#This Row],[submission_date]],"dddd")</f>
        <v>Saturday</v>
      </c>
      <c r="J43" t="str">
        <f>TEXT(Table13[[#This Row],[submission_date]],"mmmm")</f>
        <v>September</v>
      </c>
      <c r="K43" t="str">
        <f>TEXT(Table13[[#This Row],[submission_date]],"hh")</f>
        <v>18</v>
      </c>
    </row>
    <row r="44" spans="1:11" ht="30" x14ac:dyDescent="0.25">
      <c r="A44" t="s">
        <v>104</v>
      </c>
      <c r="B44" s="6">
        <v>45866.029443506945</v>
      </c>
      <c r="C44" s="6">
        <v>45872.45864300926</v>
      </c>
      <c r="D44" t="s">
        <v>74</v>
      </c>
      <c r="E44" t="s">
        <v>48</v>
      </c>
      <c r="F44" s="1" t="s">
        <v>105</v>
      </c>
      <c r="G44" t="s">
        <v>22</v>
      </c>
      <c r="H44" s="2">
        <f>(Table13[[#This Row],[resolution_date]]-Table13[[#This Row],[submission_date]])*24</f>
        <v>154.30078805558151</v>
      </c>
      <c r="I44" s="7" t="str">
        <f>TEXT(Table13[[#This Row],[submission_date]],"dddd")</f>
        <v>Monday</v>
      </c>
      <c r="J44" t="str">
        <f>TEXT(Table13[[#This Row],[submission_date]],"mmmm")</f>
        <v>July</v>
      </c>
      <c r="K44" t="str">
        <f>TEXT(Table13[[#This Row],[submission_date]],"hh")</f>
        <v>00</v>
      </c>
    </row>
    <row r="45" spans="1:11" x14ac:dyDescent="0.25">
      <c r="A45" t="s">
        <v>106</v>
      </c>
      <c r="B45" s="6">
        <v>45868.901072280096</v>
      </c>
      <c r="C45" s="6">
        <v>45868.96509607639</v>
      </c>
      <c r="D45" t="s">
        <v>6</v>
      </c>
      <c r="E45" t="s">
        <v>28</v>
      </c>
      <c r="F45" t="s">
        <v>107</v>
      </c>
      <c r="G45" t="s">
        <v>108</v>
      </c>
      <c r="H45" s="2">
        <f>(Table13[[#This Row],[resolution_date]]-Table13[[#This Row],[submission_date]])*24</f>
        <v>1.5365711110644042</v>
      </c>
      <c r="I45" s="7" t="str">
        <f>TEXT(Table13[[#This Row],[submission_date]],"dddd")</f>
        <v>Wednesday</v>
      </c>
      <c r="J45" t="str">
        <f>TEXT(Table13[[#This Row],[submission_date]],"mmmm")</f>
        <v>July</v>
      </c>
      <c r="K45" t="str">
        <f>TEXT(Table13[[#This Row],[submission_date]],"hh")</f>
        <v>21</v>
      </c>
    </row>
    <row r="46" spans="1:11" x14ac:dyDescent="0.25">
      <c r="A46" t="s">
        <v>109</v>
      </c>
      <c r="B46" s="6">
        <v>45872.126770416668</v>
      </c>
      <c r="C46" s="6">
        <v>45872.29889071759</v>
      </c>
      <c r="D46" t="s">
        <v>14</v>
      </c>
      <c r="E46" t="s">
        <v>25</v>
      </c>
      <c r="F46" t="s">
        <v>110</v>
      </c>
      <c r="G46" t="s">
        <v>4</v>
      </c>
      <c r="H46" s="2">
        <f>(Table13[[#This Row],[resolution_date]]-Table13[[#This Row],[submission_date]])*24</f>
        <v>4.1308872221270576</v>
      </c>
      <c r="I46" s="7" t="str">
        <f>TEXT(Table13[[#This Row],[submission_date]],"dddd")</f>
        <v>Sunday</v>
      </c>
      <c r="J46" t="str">
        <f>TEXT(Table13[[#This Row],[submission_date]],"mmmm")</f>
        <v>August</v>
      </c>
      <c r="K46" t="str">
        <f>TEXT(Table13[[#This Row],[submission_date]],"hh")</f>
        <v>03</v>
      </c>
    </row>
    <row r="47" spans="1:11" x14ac:dyDescent="0.25">
      <c r="A47" t="s">
        <v>111</v>
      </c>
      <c r="B47" s="6">
        <v>45843.404094467594</v>
      </c>
      <c r="C47" s="6">
        <v>45843.878437824074</v>
      </c>
      <c r="D47" t="s">
        <v>6</v>
      </c>
      <c r="E47" t="s">
        <v>7</v>
      </c>
      <c r="F47" t="s">
        <v>112</v>
      </c>
      <c r="G47" t="s">
        <v>4</v>
      </c>
      <c r="H47" s="2">
        <f>(Table13[[#This Row],[resolution_date]]-Table13[[#This Row],[submission_date]])*24</f>
        <v>11.384240555518772</v>
      </c>
      <c r="I47" s="7" t="str">
        <f>TEXT(Table13[[#This Row],[submission_date]],"dddd")</f>
        <v>Saturday</v>
      </c>
      <c r="J47" t="str">
        <f>TEXT(Table13[[#This Row],[submission_date]],"mmmm")</f>
        <v>July</v>
      </c>
      <c r="K47" t="str">
        <f>TEXT(Table13[[#This Row],[submission_date]],"hh")</f>
        <v>09</v>
      </c>
    </row>
    <row r="48" spans="1:11" x14ac:dyDescent="0.25">
      <c r="A48" t="s">
        <v>113</v>
      </c>
      <c r="B48" s="6">
        <v>45899.571593854169</v>
      </c>
      <c r="C48" s="6">
        <v>45901.48748614583</v>
      </c>
      <c r="D48" t="s">
        <v>38</v>
      </c>
      <c r="E48" t="s">
        <v>18</v>
      </c>
      <c r="F48" t="s">
        <v>114</v>
      </c>
      <c r="G48" t="s">
        <v>9</v>
      </c>
      <c r="H48" s="2">
        <f>(Table13[[#This Row],[resolution_date]]-Table13[[#This Row],[submission_date]])*24</f>
        <v>45.981414999871049</v>
      </c>
      <c r="I48" s="7" t="str">
        <f>TEXT(Table13[[#This Row],[submission_date]],"dddd")</f>
        <v>Saturday</v>
      </c>
      <c r="J48" t="str">
        <f>TEXT(Table13[[#This Row],[submission_date]],"mmmm")</f>
        <v>August</v>
      </c>
      <c r="K48" t="str">
        <f>TEXT(Table13[[#This Row],[submission_date]],"hh")</f>
        <v>13</v>
      </c>
    </row>
    <row r="49" spans="1:11" x14ac:dyDescent="0.25">
      <c r="A49" t="s">
        <v>115</v>
      </c>
      <c r="B49" s="6">
        <v>45830.641442060187</v>
      </c>
      <c r="C49" s="6">
        <v>45835.539807534726</v>
      </c>
      <c r="D49" t="s">
        <v>24</v>
      </c>
      <c r="E49" t="s">
        <v>7</v>
      </c>
      <c r="F49" t="s">
        <v>116</v>
      </c>
      <c r="G49" t="s">
        <v>22</v>
      </c>
      <c r="H49" s="2">
        <f>(Table13[[#This Row],[resolution_date]]-Table13[[#This Row],[submission_date]])*24</f>
        <v>117.56077138893306</v>
      </c>
      <c r="I49" s="7" t="str">
        <f>TEXT(Table13[[#This Row],[submission_date]],"dddd")</f>
        <v>Sunday</v>
      </c>
      <c r="J49" t="str">
        <f>TEXT(Table13[[#This Row],[submission_date]],"mmmm")</f>
        <v>June</v>
      </c>
      <c r="K49" t="str">
        <f>TEXT(Table13[[#This Row],[submission_date]],"hh")</f>
        <v>15</v>
      </c>
    </row>
    <row r="50" spans="1:11" x14ac:dyDescent="0.25">
      <c r="A50" t="s">
        <v>117</v>
      </c>
      <c r="B50" s="6">
        <v>45841.133833182874</v>
      </c>
      <c r="C50" s="6">
        <v>45841.652713553238</v>
      </c>
      <c r="D50" t="s">
        <v>38</v>
      </c>
      <c r="E50" t="s">
        <v>7</v>
      </c>
      <c r="F50" t="s">
        <v>118</v>
      </c>
      <c r="G50" t="s">
        <v>9</v>
      </c>
      <c r="H50" s="2">
        <f>(Table13[[#This Row],[resolution_date]]-Table13[[#This Row],[submission_date]])*24</f>
        <v>12.45312888873741</v>
      </c>
      <c r="I50" s="7" t="str">
        <f>TEXT(Table13[[#This Row],[submission_date]],"dddd")</f>
        <v>Thursday</v>
      </c>
      <c r="J50" t="str">
        <f>TEXT(Table13[[#This Row],[submission_date]],"mmmm")</f>
        <v>July</v>
      </c>
      <c r="K50" t="str">
        <f>TEXT(Table13[[#This Row],[submission_date]],"hh")</f>
        <v>03</v>
      </c>
    </row>
    <row r="51" spans="1:11" x14ac:dyDescent="0.25">
      <c r="A51" t="s">
        <v>119</v>
      </c>
      <c r="B51" s="6">
        <v>45878.743972037038</v>
      </c>
      <c r="C51" s="6">
        <v>45879.856085624997</v>
      </c>
      <c r="D51" t="s">
        <v>38</v>
      </c>
      <c r="E51" t="s">
        <v>7</v>
      </c>
      <c r="F51" t="s">
        <v>120</v>
      </c>
      <c r="G51" t="s">
        <v>9</v>
      </c>
      <c r="H51" s="2">
        <f>(Table13[[#This Row],[resolution_date]]-Table13[[#This Row],[submission_date]])*24</f>
        <v>26.690726111002732</v>
      </c>
      <c r="I51" s="7" t="str">
        <f>TEXT(Table13[[#This Row],[submission_date]],"dddd")</f>
        <v>Saturday</v>
      </c>
      <c r="J51" t="str">
        <f>TEXT(Table13[[#This Row],[submission_date]],"mmmm")</f>
        <v>August</v>
      </c>
      <c r="K51" t="str">
        <f>TEXT(Table13[[#This Row],[submission_date]],"hh")</f>
        <v>17</v>
      </c>
    </row>
    <row r="52" spans="1:11" x14ac:dyDescent="0.25">
      <c r="A52" t="s">
        <v>121</v>
      </c>
      <c r="B52" s="6">
        <v>45861.349098321756</v>
      </c>
      <c r="C52" s="6">
        <v>45865.965208310183</v>
      </c>
      <c r="D52" t="s">
        <v>1</v>
      </c>
      <c r="E52" t="s">
        <v>15</v>
      </c>
      <c r="F52" t="s">
        <v>122</v>
      </c>
      <c r="G52" t="s">
        <v>22</v>
      </c>
      <c r="H52" s="2">
        <f>(Table13[[#This Row],[resolution_date]]-Table13[[#This Row],[submission_date]])*24</f>
        <v>110.78663972223876</v>
      </c>
      <c r="I52" s="7" t="str">
        <f>TEXT(Table13[[#This Row],[submission_date]],"dddd")</f>
        <v>Wednesday</v>
      </c>
      <c r="J52" t="str">
        <f>TEXT(Table13[[#This Row],[submission_date]],"mmmm")</f>
        <v>July</v>
      </c>
      <c r="K52" t="str">
        <f>TEXT(Table13[[#This Row],[submission_date]],"hh")</f>
        <v>08</v>
      </c>
    </row>
    <row r="53" spans="1:11" x14ac:dyDescent="0.25">
      <c r="A53" t="s">
        <v>123</v>
      </c>
      <c r="B53" s="6">
        <v>45869.827586620369</v>
      </c>
      <c r="C53" s="6">
        <v>45876.059095208337</v>
      </c>
      <c r="D53" t="s">
        <v>6</v>
      </c>
      <c r="E53" t="s">
        <v>7</v>
      </c>
      <c r="F53" t="s">
        <v>124</v>
      </c>
      <c r="G53" t="s">
        <v>22</v>
      </c>
      <c r="H53" s="2">
        <f>(Table13[[#This Row],[resolution_date]]-Table13[[#This Row],[submission_date]])*24</f>
        <v>149.55620611121412</v>
      </c>
      <c r="I53" s="7" t="str">
        <f>TEXT(Table13[[#This Row],[submission_date]],"dddd")</f>
        <v>Thursday</v>
      </c>
      <c r="J53" t="str">
        <f>TEXT(Table13[[#This Row],[submission_date]],"mmmm")</f>
        <v>July</v>
      </c>
      <c r="K53" t="str">
        <f>TEXT(Table13[[#This Row],[submission_date]],"hh")</f>
        <v>19</v>
      </c>
    </row>
    <row r="54" spans="1:11" x14ac:dyDescent="0.25">
      <c r="A54" t="s">
        <v>125</v>
      </c>
      <c r="B54" s="6">
        <v>45837.098491828707</v>
      </c>
      <c r="C54" s="6">
        <v>45837.72761415509</v>
      </c>
      <c r="D54" t="s">
        <v>6</v>
      </c>
      <c r="E54" t="s">
        <v>15</v>
      </c>
      <c r="F54" t="s">
        <v>126</v>
      </c>
      <c r="G54" t="s">
        <v>9</v>
      </c>
      <c r="H54" s="2">
        <f>(Table13[[#This Row],[resolution_date]]-Table13[[#This Row],[submission_date]])*24</f>
        <v>15.098935833200812</v>
      </c>
      <c r="I54" s="7" t="str">
        <f>TEXT(Table13[[#This Row],[submission_date]],"dddd")</f>
        <v>Sunday</v>
      </c>
      <c r="J54" t="str">
        <f>TEXT(Table13[[#This Row],[submission_date]],"mmmm")</f>
        <v>June</v>
      </c>
      <c r="K54" t="str">
        <f>TEXT(Table13[[#This Row],[submission_date]],"hh")</f>
        <v>02</v>
      </c>
    </row>
    <row r="55" spans="1:11" x14ac:dyDescent="0.25">
      <c r="A55" t="s">
        <v>127</v>
      </c>
      <c r="B55" s="6">
        <v>45884.862366689813</v>
      </c>
      <c r="C55" s="6">
        <v>45885.412255208335</v>
      </c>
      <c r="D55" t="s">
        <v>6</v>
      </c>
      <c r="E55" t="s">
        <v>7</v>
      </c>
      <c r="F55" t="s">
        <v>128</v>
      </c>
      <c r="G55" t="s">
        <v>9</v>
      </c>
      <c r="H55" s="2">
        <f>(Table13[[#This Row],[resolution_date]]-Table13[[#This Row],[submission_date]])*24</f>
        <v>13.197324444539845</v>
      </c>
      <c r="I55" s="7" t="str">
        <f>TEXT(Table13[[#This Row],[submission_date]],"dddd")</f>
        <v>Friday</v>
      </c>
      <c r="J55" t="str">
        <f>TEXT(Table13[[#This Row],[submission_date]],"mmmm")</f>
        <v>August</v>
      </c>
      <c r="K55" t="str">
        <f>TEXT(Table13[[#This Row],[submission_date]],"hh")</f>
        <v>20</v>
      </c>
    </row>
    <row r="56" spans="1:11" x14ac:dyDescent="0.25">
      <c r="A56" t="s">
        <v>129</v>
      </c>
      <c r="B56" s="6">
        <v>45853.375071770832</v>
      </c>
      <c r="C56" s="6">
        <v>45853.793861516206</v>
      </c>
      <c r="D56" t="s">
        <v>38</v>
      </c>
      <c r="E56" t="s">
        <v>11</v>
      </c>
      <c r="F56" t="s">
        <v>130</v>
      </c>
      <c r="G56" t="s">
        <v>4</v>
      </c>
      <c r="H56" s="2">
        <f>(Table13[[#This Row],[resolution_date]]-Table13[[#This Row],[submission_date]])*24</f>
        <v>10.050953888974618</v>
      </c>
      <c r="I56" s="7" t="str">
        <f>TEXT(Table13[[#This Row],[submission_date]],"dddd")</f>
        <v>Tuesday</v>
      </c>
      <c r="J56" t="str">
        <f>TEXT(Table13[[#This Row],[submission_date]],"mmmm")</f>
        <v>July</v>
      </c>
      <c r="K56" t="str">
        <f>TEXT(Table13[[#This Row],[submission_date]],"hh")</f>
        <v>09</v>
      </c>
    </row>
    <row r="57" spans="1:11" x14ac:dyDescent="0.25">
      <c r="A57" t="s">
        <v>131</v>
      </c>
      <c r="B57" s="6">
        <v>45829.046392881944</v>
      </c>
      <c r="C57" s="6">
        <v>45830.741530185187</v>
      </c>
      <c r="D57" t="s">
        <v>24</v>
      </c>
      <c r="E57" t="s">
        <v>7</v>
      </c>
      <c r="F57" t="s">
        <v>132</v>
      </c>
      <c r="G57" t="s">
        <v>9</v>
      </c>
      <c r="H57" s="2">
        <f>(Table13[[#This Row],[resolution_date]]-Table13[[#This Row],[submission_date]])*24</f>
        <v>40.683295277820434</v>
      </c>
      <c r="I57" s="7" t="str">
        <f>TEXT(Table13[[#This Row],[submission_date]],"dddd")</f>
        <v>Saturday</v>
      </c>
      <c r="J57" t="str">
        <f>TEXT(Table13[[#This Row],[submission_date]],"mmmm")</f>
        <v>June</v>
      </c>
      <c r="K57" t="str">
        <f>TEXT(Table13[[#This Row],[submission_date]],"hh")</f>
        <v>01</v>
      </c>
    </row>
    <row r="58" spans="1:11" x14ac:dyDescent="0.25">
      <c r="A58" t="s">
        <v>133</v>
      </c>
      <c r="B58" s="6">
        <v>45871.327925046295</v>
      </c>
      <c r="C58" s="6">
        <v>45872.603165902779</v>
      </c>
      <c r="D58" t="s">
        <v>1</v>
      </c>
      <c r="E58" t="s">
        <v>15</v>
      </c>
      <c r="F58" t="s">
        <v>134</v>
      </c>
      <c r="G58" t="s">
        <v>9</v>
      </c>
      <c r="H58" s="2">
        <f>(Table13[[#This Row],[resolution_date]]-Table13[[#This Row],[submission_date]])*24</f>
        <v>30.605780555633828</v>
      </c>
      <c r="I58" s="7" t="str">
        <f>TEXT(Table13[[#This Row],[submission_date]],"dddd")</f>
        <v>Saturday</v>
      </c>
      <c r="J58" t="str">
        <f>TEXT(Table13[[#This Row],[submission_date]],"mmmm")</f>
        <v>August</v>
      </c>
      <c r="K58" t="str">
        <f>TEXT(Table13[[#This Row],[submission_date]],"hh")</f>
        <v>07</v>
      </c>
    </row>
    <row r="59" spans="1:11" x14ac:dyDescent="0.25">
      <c r="A59" t="s">
        <v>135</v>
      </c>
      <c r="B59" s="6">
        <v>45860.353873182874</v>
      </c>
      <c r="C59" s="6">
        <v>45867.28399974537</v>
      </c>
      <c r="D59" t="s">
        <v>53</v>
      </c>
      <c r="E59" t="s">
        <v>28</v>
      </c>
      <c r="F59" t="s">
        <v>136</v>
      </c>
      <c r="G59" t="s">
        <v>22</v>
      </c>
      <c r="H59" s="2">
        <f>(Table13[[#This Row],[resolution_date]]-Table13[[#This Row],[submission_date]])*24</f>
        <v>166.32303749991115</v>
      </c>
      <c r="I59" s="7" t="str">
        <f>TEXT(Table13[[#This Row],[submission_date]],"dddd")</f>
        <v>Tuesday</v>
      </c>
      <c r="J59" t="str">
        <f>TEXT(Table13[[#This Row],[submission_date]],"mmmm")</f>
        <v>July</v>
      </c>
      <c r="K59" t="str">
        <f>TEXT(Table13[[#This Row],[submission_date]],"hh")</f>
        <v>08</v>
      </c>
    </row>
    <row r="60" spans="1:11" x14ac:dyDescent="0.25">
      <c r="A60" t="s">
        <v>137</v>
      </c>
      <c r="B60" s="6">
        <v>45875.571420300927</v>
      </c>
      <c r="C60" s="6">
        <v>45877.303206296296</v>
      </c>
      <c r="D60" t="s">
        <v>1</v>
      </c>
      <c r="E60" t="s">
        <v>28</v>
      </c>
      <c r="F60" t="s">
        <v>138</v>
      </c>
      <c r="G60" t="s">
        <v>9</v>
      </c>
      <c r="H60" s="2">
        <f>(Table13[[#This Row],[resolution_date]]-Table13[[#This Row],[submission_date]])*24</f>
        <v>41.562863888859283</v>
      </c>
      <c r="I60" s="7" t="str">
        <f>TEXT(Table13[[#This Row],[submission_date]],"dddd")</f>
        <v>Wednesday</v>
      </c>
      <c r="J60" t="str">
        <f>TEXT(Table13[[#This Row],[submission_date]],"mmmm")</f>
        <v>August</v>
      </c>
      <c r="K60" t="str">
        <f>TEXT(Table13[[#This Row],[submission_date]],"hh")</f>
        <v>13</v>
      </c>
    </row>
    <row r="61" spans="1:11" x14ac:dyDescent="0.25">
      <c r="A61" t="s">
        <v>139</v>
      </c>
      <c r="B61" s="6">
        <v>45827.276196747684</v>
      </c>
      <c r="C61" s="6">
        <v>45828.595821400464</v>
      </c>
      <c r="D61" t="s">
        <v>6</v>
      </c>
      <c r="E61" t="s">
        <v>25</v>
      </c>
      <c r="F61" t="s">
        <v>140</v>
      </c>
      <c r="G61" t="s">
        <v>9</v>
      </c>
      <c r="H61" s="2">
        <f>(Table13[[#This Row],[resolution_date]]-Table13[[#This Row],[submission_date]])*24</f>
        <v>31.670991666731425</v>
      </c>
      <c r="I61" s="7" t="str">
        <f>TEXT(Table13[[#This Row],[submission_date]],"dddd")</f>
        <v>Thursday</v>
      </c>
      <c r="J61" t="str">
        <f>TEXT(Table13[[#This Row],[submission_date]],"mmmm")</f>
        <v>June</v>
      </c>
      <c r="K61" t="str">
        <f>TEXT(Table13[[#This Row],[submission_date]],"hh")</f>
        <v>06</v>
      </c>
    </row>
    <row r="62" spans="1:11" x14ac:dyDescent="0.25">
      <c r="A62" t="s">
        <v>141</v>
      </c>
      <c r="B62" s="6">
        <v>45896.462244918985</v>
      </c>
      <c r="C62" s="6">
        <v>45897.49294236111</v>
      </c>
      <c r="D62" t="s">
        <v>14</v>
      </c>
      <c r="E62" t="s">
        <v>15</v>
      </c>
      <c r="F62" t="s">
        <v>142</v>
      </c>
      <c r="G62" t="s">
        <v>9</v>
      </c>
      <c r="H62" s="2">
        <f>(Table13[[#This Row],[resolution_date]]-Table13[[#This Row],[submission_date]])*24</f>
        <v>24.736738611012697</v>
      </c>
      <c r="I62" s="7" t="str">
        <f>TEXT(Table13[[#This Row],[submission_date]],"dddd")</f>
        <v>Wednesday</v>
      </c>
      <c r="J62" t="str">
        <f>TEXT(Table13[[#This Row],[submission_date]],"mmmm")</f>
        <v>August</v>
      </c>
      <c r="K62" t="str">
        <f>TEXT(Table13[[#This Row],[submission_date]],"hh")</f>
        <v>11</v>
      </c>
    </row>
    <row r="63" spans="1:11" x14ac:dyDescent="0.25">
      <c r="A63" t="s">
        <v>143</v>
      </c>
      <c r="B63" s="6">
        <v>45910.846970937499</v>
      </c>
      <c r="C63" s="6">
        <v>45912.419087835646</v>
      </c>
      <c r="D63" t="s">
        <v>6</v>
      </c>
      <c r="E63" t="s">
        <v>2</v>
      </c>
      <c r="F63" t="s">
        <v>144</v>
      </c>
      <c r="G63" t="s">
        <v>9</v>
      </c>
      <c r="H63" s="2">
        <f>(Table13[[#This Row],[resolution_date]]-Table13[[#This Row],[submission_date]])*24</f>
        <v>37.730805555533152</v>
      </c>
      <c r="I63" s="7" t="str">
        <f>TEXT(Table13[[#This Row],[submission_date]],"dddd")</f>
        <v>Wednesday</v>
      </c>
      <c r="J63" t="str">
        <f>TEXT(Table13[[#This Row],[submission_date]],"mmmm")</f>
        <v>September</v>
      </c>
      <c r="K63" t="str">
        <f>TEXT(Table13[[#This Row],[submission_date]],"hh")</f>
        <v>20</v>
      </c>
    </row>
    <row r="64" spans="1:11" x14ac:dyDescent="0.25">
      <c r="A64" t="s">
        <v>145</v>
      </c>
      <c r="B64" s="6">
        <v>45839.694215011572</v>
      </c>
      <c r="C64" s="6">
        <v>45840.681742858796</v>
      </c>
      <c r="D64" t="s">
        <v>6</v>
      </c>
      <c r="E64" t="s">
        <v>35</v>
      </c>
      <c r="F64" t="s">
        <v>146</v>
      </c>
      <c r="G64" t="s">
        <v>9</v>
      </c>
      <c r="H64" s="2">
        <f>(Table13[[#This Row],[resolution_date]]-Table13[[#This Row],[submission_date]])*24</f>
        <v>23.700668333389331</v>
      </c>
      <c r="I64" s="7" t="str">
        <f>TEXT(Table13[[#This Row],[submission_date]],"dddd")</f>
        <v>Tuesday</v>
      </c>
      <c r="J64" t="str">
        <f>TEXT(Table13[[#This Row],[submission_date]],"mmmm")</f>
        <v>July</v>
      </c>
      <c r="K64" t="str">
        <f>TEXT(Table13[[#This Row],[submission_date]],"hh")</f>
        <v>16</v>
      </c>
    </row>
    <row r="65" spans="1:11" x14ac:dyDescent="0.25">
      <c r="A65" t="s">
        <v>147</v>
      </c>
      <c r="B65" s="6">
        <v>45871.331352719906</v>
      </c>
      <c r="C65" s="6">
        <v>45871.66361797454</v>
      </c>
      <c r="D65" t="s">
        <v>24</v>
      </c>
      <c r="E65" t="s">
        <v>35</v>
      </c>
      <c r="F65" t="s">
        <v>148</v>
      </c>
      <c r="G65" t="s">
        <v>4</v>
      </c>
      <c r="H65" s="2">
        <f>(Table13[[#This Row],[resolution_date]]-Table13[[#This Row],[submission_date]])*24</f>
        <v>7.974366111215204</v>
      </c>
      <c r="I65" s="7" t="str">
        <f>TEXT(Table13[[#This Row],[submission_date]],"dddd")</f>
        <v>Saturday</v>
      </c>
      <c r="J65" t="str">
        <f>TEXT(Table13[[#This Row],[submission_date]],"mmmm")</f>
        <v>August</v>
      </c>
      <c r="K65" t="str">
        <f>TEXT(Table13[[#This Row],[submission_date]],"hh")</f>
        <v>07</v>
      </c>
    </row>
    <row r="66" spans="1:11" x14ac:dyDescent="0.25">
      <c r="A66" t="s">
        <v>149</v>
      </c>
      <c r="B66" s="6">
        <v>45910.248753749998</v>
      </c>
      <c r="C66" s="6">
        <v>45910.584669618052</v>
      </c>
      <c r="D66" t="s">
        <v>24</v>
      </c>
      <c r="E66" t="s">
        <v>18</v>
      </c>
      <c r="F66" t="s">
        <v>150</v>
      </c>
      <c r="G66" t="s">
        <v>9</v>
      </c>
      <c r="H66" s="2">
        <f>(Table13[[#This Row],[resolution_date]]-Table13[[#This Row],[submission_date]])*24</f>
        <v>8.061980833299458</v>
      </c>
      <c r="I66" s="7" t="str">
        <f>TEXT(Table13[[#This Row],[submission_date]],"dddd")</f>
        <v>Wednesday</v>
      </c>
      <c r="J66" t="str">
        <f>TEXT(Table13[[#This Row],[submission_date]],"mmmm")</f>
        <v>September</v>
      </c>
      <c r="K66" t="str">
        <f>TEXT(Table13[[#This Row],[submission_date]],"hh")</f>
        <v>05</v>
      </c>
    </row>
    <row r="67" spans="1:11" x14ac:dyDescent="0.25">
      <c r="A67" t="s">
        <v>151</v>
      </c>
      <c r="B67" s="6">
        <v>45886.799485474534</v>
      </c>
      <c r="C67" s="6">
        <v>45887.413612974538</v>
      </c>
      <c r="D67" t="s">
        <v>38</v>
      </c>
      <c r="E67" t="s">
        <v>2</v>
      </c>
      <c r="F67" t="s">
        <v>152</v>
      </c>
      <c r="G67" t="s">
        <v>9</v>
      </c>
      <c r="H67" s="2">
        <f>(Table13[[#This Row],[resolution_date]]-Table13[[#This Row],[submission_date]])*24</f>
        <v>14.739060000109021</v>
      </c>
      <c r="I67" s="7" t="str">
        <f>TEXT(Table13[[#This Row],[submission_date]],"dddd")</f>
        <v>Sunday</v>
      </c>
      <c r="J67" t="str">
        <f>TEXT(Table13[[#This Row],[submission_date]],"mmmm")</f>
        <v>August</v>
      </c>
      <c r="K67" t="str">
        <f>TEXT(Table13[[#This Row],[submission_date]],"hh")</f>
        <v>19</v>
      </c>
    </row>
    <row r="68" spans="1:11" x14ac:dyDescent="0.25">
      <c r="A68" t="s">
        <v>153</v>
      </c>
      <c r="B68" s="6">
        <v>45856.265250370372</v>
      </c>
      <c r="C68" s="6">
        <v>45861.837133449073</v>
      </c>
      <c r="D68" t="s">
        <v>14</v>
      </c>
      <c r="E68" t="s">
        <v>11</v>
      </c>
      <c r="F68" t="s">
        <v>154</v>
      </c>
      <c r="G68" t="s">
        <v>22</v>
      </c>
      <c r="H68" s="2">
        <f>(Table13[[#This Row],[resolution_date]]-Table13[[#This Row],[submission_date]])*24</f>
        <v>133.7251938888221</v>
      </c>
      <c r="I68" s="7" t="str">
        <f>TEXT(Table13[[#This Row],[submission_date]],"dddd")</f>
        <v>Friday</v>
      </c>
      <c r="J68" t="str">
        <f>TEXT(Table13[[#This Row],[submission_date]],"mmmm")</f>
        <v>July</v>
      </c>
      <c r="K68" t="str">
        <f>TEXT(Table13[[#This Row],[submission_date]],"hh")</f>
        <v>06</v>
      </c>
    </row>
    <row r="69" spans="1:11" x14ac:dyDescent="0.25">
      <c r="A69" t="s">
        <v>155</v>
      </c>
      <c r="B69" s="6">
        <v>45844.096052199071</v>
      </c>
      <c r="C69" s="6">
        <v>45845.543753993057</v>
      </c>
      <c r="D69" t="s">
        <v>38</v>
      </c>
      <c r="E69" t="s">
        <v>35</v>
      </c>
      <c r="F69" t="s">
        <v>156</v>
      </c>
      <c r="G69" t="s">
        <v>9</v>
      </c>
      <c r="H69" s="2">
        <f>(Table13[[#This Row],[resolution_date]]-Table13[[#This Row],[submission_date]])*24</f>
        <v>34.744843055668753</v>
      </c>
      <c r="I69" s="7" t="str">
        <f>TEXT(Table13[[#This Row],[submission_date]],"dddd")</f>
        <v>Sunday</v>
      </c>
      <c r="J69" t="str">
        <f>TEXT(Table13[[#This Row],[submission_date]],"mmmm")</f>
        <v>July</v>
      </c>
      <c r="K69" t="str">
        <f>TEXT(Table13[[#This Row],[submission_date]],"hh")</f>
        <v>02</v>
      </c>
    </row>
    <row r="70" spans="1:11" x14ac:dyDescent="0.25">
      <c r="A70" t="s">
        <v>157</v>
      </c>
      <c r="B70" s="6">
        <v>45894.949184375</v>
      </c>
      <c r="C70" s="6">
        <v>45898.220131793983</v>
      </c>
      <c r="D70" t="s">
        <v>6</v>
      </c>
      <c r="E70" t="s">
        <v>25</v>
      </c>
      <c r="F70" t="s">
        <v>158</v>
      </c>
      <c r="G70" t="s">
        <v>22</v>
      </c>
      <c r="H70" s="2">
        <f>(Table13[[#This Row],[resolution_date]]-Table13[[#This Row],[submission_date]])*24</f>
        <v>78.502738055598456</v>
      </c>
      <c r="I70" s="7" t="str">
        <f>TEXT(Table13[[#This Row],[submission_date]],"dddd")</f>
        <v>Monday</v>
      </c>
      <c r="J70" t="str">
        <f>TEXT(Table13[[#This Row],[submission_date]],"mmmm")</f>
        <v>August</v>
      </c>
      <c r="K70" t="str">
        <f>TEXT(Table13[[#This Row],[submission_date]],"hh")</f>
        <v>22</v>
      </c>
    </row>
    <row r="71" spans="1:11" x14ac:dyDescent="0.25">
      <c r="A71" t="s">
        <v>159</v>
      </c>
      <c r="B71" s="6">
        <v>45907.021170486114</v>
      </c>
      <c r="C71" s="6">
        <v>45908.025708969908</v>
      </c>
      <c r="D71" t="s">
        <v>6</v>
      </c>
      <c r="E71" t="s">
        <v>18</v>
      </c>
      <c r="F71" t="s">
        <v>160</v>
      </c>
      <c r="G71" t="s">
        <v>9</v>
      </c>
      <c r="H71" s="2">
        <f>(Table13[[#This Row],[resolution_date]]-Table13[[#This Row],[submission_date]])*24</f>
        <v>24.108923611056525</v>
      </c>
      <c r="I71" s="7" t="str">
        <f>TEXT(Table13[[#This Row],[submission_date]],"dddd")</f>
        <v>Sunday</v>
      </c>
      <c r="J71" t="str">
        <f>TEXT(Table13[[#This Row],[submission_date]],"mmmm")</f>
        <v>September</v>
      </c>
      <c r="K71" t="str">
        <f>TEXT(Table13[[#This Row],[submission_date]],"hh")</f>
        <v>00</v>
      </c>
    </row>
    <row r="72" spans="1:11" x14ac:dyDescent="0.25">
      <c r="A72" t="s">
        <v>161</v>
      </c>
      <c r="B72" s="6">
        <v>45859.915516805559</v>
      </c>
      <c r="C72" s="6">
        <v>45860.049579155093</v>
      </c>
      <c r="D72" t="s">
        <v>14</v>
      </c>
      <c r="E72" t="s">
        <v>35</v>
      </c>
      <c r="F72" t="s">
        <v>162</v>
      </c>
      <c r="G72" t="s">
        <v>108</v>
      </c>
      <c r="H72" s="2">
        <f>(Table13[[#This Row],[resolution_date]]-Table13[[#This Row],[submission_date]])*24</f>
        <v>3.2174963888246566</v>
      </c>
      <c r="I72" s="7" t="str">
        <f>TEXT(Table13[[#This Row],[submission_date]],"dddd")</f>
        <v>Monday</v>
      </c>
      <c r="J72" t="str">
        <f>TEXT(Table13[[#This Row],[submission_date]],"mmmm")</f>
        <v>July</v>
      </c>
      <c r="K72" t="str">
        <f>TEXT(Table13[[#This Row],[submission_date]],"hh")</f>
        <v>21</v>
      </c>
    </row>
    <row r="73" spans="1:11" x14ac:dyDescent="0.25">
      <c r="A73" t="s">
        <v>163</v>
      </c>
      <c r="B73" s="6">
        <v>45862.538502326388</v>
      </c>
      <c r="C73" s="6">
        <v>45863.373908437497</v>
      </c>
      <c r="D73" t="s">
        <v>6</v>
      </c>
      <c r="E73" t="s">
        <v>11</v>
      </c>
      <c r="F73" t="s">
        <v>164</v>
      </c>
      <c r="G73" t="s">
        <v>9</v>
      </c>
      <c r="H73" s="2">
        <f>(Table13[[#This Row],[resolution_date]]-Table13[[#This Row],[submission_date]])*24</f>
        <v>20.04974666662747</v>
      </c>
      <c r="I73" s="7" t="str">
        <f>TEXT(Table13[[#This Row],[submission_date]],"dddd")</f>
        <v>Thursday</v>
      </c>
      <c r="J73" t="str">
        <f>TEXT(Table13[[#This Row],[submission_date]],"mmmm")</f>
        <v>July</v>
      </c>
      <c r="K73" t="str">
        <f>TEXT(Table13[[#This Row],[submission_date]],"hh")</f>
        <v>12</v>
      </c>
    </row>
    <row r="74" spans="1:11" x14ac:dyDescent="0.25">
      <c r="A74" t="s">
        <v>165</v>
      </c>
      <c r="B74" s="6">
        <v>45826.321113136575</v>
      </c>
      <c r="C74" s="6">
        <v>45827.897584212966</v>
      </c>
      <c r="D74" t="s">
        <v>38</v>
      </c>
      <c r="E74" t="s">
        <v>35</v>
      </c>
      <c r="F74" t="s">
        <v>166</v>
      </c>
      <c r="G74" t="s">
        <v>9</v>
      </c>
      <c r="H74" s="2">
        <f>(Table13[[#This Row],[resolution_date]]-Table13[[#This Row],[submission_date]])*24</f>
        <v>37.83530583337415</v>
      </c>
      <c r="I74" s="7" t="str">
        <f>TEXT(Table13[[#This Row],[submission_date]],"dddd")</f>
        <v>Wednesday</v>
      </c>
      <c r="J74" t="str">
        <f>TEXT(Table13[[#This Row],[submission_date]],"mmmm")</f>
        <v>June</v>
      </c>
      <c r="K74" t="str">
        <f>TEXT(Table13[[#This Row],[submission_date]],"hh")</f>
        <v>07</v>
      </c>
    </row>
    <row r="75" spans="1:11" x14ac:dyDescent="0.25">
      <c r="A75" t="s">
        <v>167</v>
      </c>
      <c r="B75" s="6">
        <v>45903.107100034722</v>
      </c>
      <c r="C75" s="6">
        <v>45903.445007858798</v>
      </c>
      <c r="D75" t="s">
        <v>1</v>
      </c>
      <c r="E75" t="s">
        <v>39</v>
      </c>
      <c r="F75" t="s">
        <v>168</v>
      </c>
      <c r="G75" t="s">
        <v>4</v>
      </c>
      <c r="H75" s="2">
        <f>(Table13[[#This Row],[resolution_date]]-Table13[[#This Row],[submission_date]])*24</f>
        <v>8.1097877778229304</v>
      </c>
      <c r="I75" s="7" t="str">
        <f>TEXT(Table13[[#This Row],[submission_date]],"dddd")</f>
        <v>Wednesday</v>
      </c>
      <c r="J75" t="str">
        <f>TEXT(Table13[[#This Row],[submission_date]],"mmmm")</f>
        <v>September</v>
      </c>
      <c r="K75" t="str">
        <f>TEXT(Table13[[#This Row],[submission_date]],"hh")</f>
        <v>02</v>
      </c>
    </row>
    <row r="76" spans="1:11" x14ac:dyDescent="0.25">
      <c r="A76" t="s">
        <v>169</v>
      </c>
      <c r="B76" s="6">
        <v>45877.970792118052</v>
      </c>
      <c r="C76" s="6">
        <v>45883.972063807872</v>
      </c>
      <c r="D76" t="s">
        <v>53</v>
      </c>
      <c r="E76" t="s">
        <v>7</v>
      </c>
      <c r="F76" t="s">
        <v>170</v>
      </c>
      <c r="G76" t="s">
        <v>22</v>
      </c>
      <c r="H76" s="2">
        <f>(Table13[[#This Row],[resolution_date]]-Table13[[#This Row],[submission_date]])*24</f>
        <v>144.03052055567969</v>
      </c>
      <c r="I76" s="7" t="str">
        <f>TEXT(Table13[[#This Row],[submission_date]],"dddd")</f>
        <v>Friday</v>
      </c>
      <c r="J76" t="str">
        <f>TEXT(Table13[[#This Row],[submission_date]],"mmmm")</f>
        <v>August</v>
      </c>
      <c r="K76" t="str">
        <f>TEXT(Table13[[#This Row],[submission_date]],"hh")</f>
        <v>23</v>
      </c>
    </row>
    <row r="77" spans="1:11" x14ac:dyDescent="0.25">
      <c r="A77" t="s">
        <v>171</v>
      </c>
      <c r="B77" s="6">
        <v>45897.075165682872</v>
      </c>
      <c r="C77" s="6">
        <v>45897.403448738427</v>
      </c>
      <c r="D77" t="s">
        <v>1</v>
      </c>
      <c r="E77" t="s">
        <v>35</v>
      </c>
      <c r="F77" t="s">
        <v>172</v>
      </c>
      <c r="G77" t="s">
        <v>4</v>
      </c>
      <c r="H77" s="2">
        <f>(Table13[[#This Row],[resolution_date]]-Table13[[#This Row],[submission_date]])*24</f>
        <v>7.8787933333078399</v>
      </c>
      <c r="I77" s="7" t="str">
        <f>TEXT(Table13[[#This Row],[submission_date]],"dddd")</f>
        <v>Thursday</v>
      </c>
      <c r="J77" t="str">
        <f>TEXT(Table13[[#This Row],[submission_date]],"mmmm")</f>
        <v>August</v>
      </c>
      <c r="K77" t="str">
        <f>TEXT(Table13[[#This Row],[submission_date]],"hh")</f>
        <v>01</v>
      </c>
    </row>
    <row r="78" spans="1:11" x14ac:dyDescent="0.25">
      <c r="A78" t="s">
        <v>173</v>
      </c>
      <c r="B78" s="6">
        <v>45858.438465046296</v>
      </c>
      <c r="C78" s="6">
        <v>45858.591115138886</v>
      </c>
      <c r="D78" t="s">
        <v>6</v>
      </c>
      <c r="E78" t="s">
        <v>7</v>
      </c>
      <c r="F78" t="s">
        <v>174</v>
      </c>
      <c r="G78" t="s">
        <v>4</v>
      </c>
      <c r="H78" s="2">
        <f>(Table13[[#This Row],[resolution_date]]-Table13[[#This Row],[submission_date]])*24</f>
        <v>3.6636022221646272</v>
      </c>
      <c r="I78" s="7" t="str">
        <f>TEXT(Table13[[#This Row],[submission_date]],"dddd")</f>
        <v>Sunday</v>
      </c>
      <c r="J78" t="str">
        <f>TEXT(Table13[[#This Row],[submission_date]],"mmmm")</f>
        <v>July</v>
      </c>
      <c r="K78" t="str">
        <f>TEXT(Table13[[#This Row],[submission_date]],"hh")</f>
        <v>10</v>
      </c>
    </row>
    <row r="79" spans="1:11" x14ac:dyDescent="0.25">
      <c r="A79" t="s">
        <v>175</v>
      </c>
      <c r="B79" s="6">
        <v>45855.654603726849</v>
      </c>
      <c r="C79" s="6">
        <v>45855.944653101855</v>
      </c>
      <c r="D79" t="s">
        <v>53</v>
      </c>
      <c r="E79" t="s">
        <v>25</v>
      </c>
      <c r="F79" t="s">
        <v>176</v>
      </c>
      <c r="G79" t="s">
        <v>4</v>
      </c>
      <c r="H79" s="2">
        <f>(Table13[[#This Row],[resolution_date]]-Table13[[#This Row],[submission_date]])*24</f>
        <v>6.9611850001383573</v>
      </c>
      <c r="I79" s="7" t="str">
        <f>TEXT(Table13[[#This Row],[submission_date]],"dddd")</f>
        <v>Thursday</v>
      </c>
      <c r="J79" t="str">
        <f>TEXT(Table13[[#This Row],[submission_date]],"mmmm")</f>
        <v>July</v>
      </c>
      <c r="K79" t="str">
        <f>TEXT(Table13[[#This Row],[submission_date]],"hh")</f>
        <v>15</v>
      </c>
    </row>
    <row r="80" spans="1:11" x14ac:dyDescent="0.25">
      <c r="A80" t="s">
        <v>177</v>
      </c>
      <c r="B80" s="6">
        <v>45861.832680300926</v>
      </c>
      <c r="C80" s="6">
        <v>45864.478965694441</v>
      </c>
      <c r="D80" t="s">
        <v>6</v>
      </c>
      <c r="E80" t="s">
        <v>7</v>
      </c>
      <c r="F80" t="s">
        <v>178</v>
      </c>
      <c r="G80" t="s">
        <v>22</v>
      </c>
      <c r="H80" s="2">
        <f>(Table13[[#This Row],[resolution_date]]-Table13[[#This Row],[submission_date]])*24</f>
        <v>63.510849444370251</v>
      </c>
      <c r="I80" s="7" t="str">
        <f>TEXT(Table13[[#This Row],[submission_date]],"dddd")</f>
        <v>Wednesday</v>
      </c>
      <c r="J80" t="str">
        <f>TEXT(Table13[[#This Row],[submission_date]],"mmmm")</f>
        <v>July</v>
      </c>
      <c r="K80" t="str">
        <f>TEXT(Table13[[#This Row],[submission_date]],"hh")</f>
        <v>19</v>
      </c>
    </row>
    <row r="81" spans="1:11" x14ac:dyDescent="0.25">
      <c r="A81" t="s">
        <v>179</v>
      </c>
      <c r="B81" s="6">
        <v>45835.874010046296</v>
      </c>
      <c r="C81" s="6">
        <v>45839.839174652778</v>
      </c>
      <c r="D81" t="s">
        <v>38</v>
      </c>
      <c r="E81" t="s">
        <v>7</v>
      </c>
      <c r="F81" t="s">
        <v>180</v>
      </c>
      <c r="G81" t="s">
        <v>22</v>
      </c>
      <c r="H81" s="2">
        <f>(Table13[[#This Row],[resolution_date]]-Table13[[#This Row],[submission_date]])*24</f>
        <v>95.1639505555504</v>
      </c>
      <c r="I81" s="7" t="str">
        <f>TEXT(Table13[[#This Row],[submission_date]],"dddd")</f>
        <v>Friday</v>
      </c>
      <c r="J81" t="str">
        <f>TEXT(Table13[[#This Row],[submission_date]],"mmmm")</f>
        <v>June</v>
      </c>
      <c r="K81" t="str">
        <f>TEXT(Table13[[#This Row],[submission_date]],"hh")</f>
        <v>20</v>
      </c>
    </row>
    <row r="82" spans="1:11" x14ac:dyDescent="0.25">
      <c r="A82" t="s">
        <v>181</v>
      </c>
      <c r="B82" s="6">
        <v>45827.696929745369</v>
      </c>
      <c r="C82" s="6">
        <v>45833.939332164351</v>
      </c>
      <c r="D82" t="s">
        <v>6</v>
      </c>
      <c r="E82" t="s">
        <v>28</v>
      </c>
      <c r="F82" t="s">
        <v>182</v>
      </c>
      <c r="G82" t="s">
        <v>22</v>
      </c>
      <c r="H82" s="2">
        <f>(Table13[[#This Row],[resolution_date]]-Table13[[#This Row],[submission_date]])*24</f>
        <v>149.8176580555737</v>
      </c>
      <c r="I82" s="7" t="str">
        <f>TEXT(Table13[[#This Row],[submission_date]],"dddd")</f>
        <v>Thursday</v>
      </c>
      <c r="J82" t="str">
        <f>TEXT(Table13[[#This Row],[submission_date]],"mmmm")</f>
        <v>June</v>
      </c>
      <c r="K82" t="str">
        <f>TEXT(Table13[[#This Row],[submission_date]],"hh")</f>
        <v>16</v>
      </c>
    </row>
    <row r="83" spans="1:11" x14ac:dyDescent="0.25">
      <c r="A83" t="s">
        <v>183</v>
      </c>
      <c r="B83" s="6">
        <v>45835.035242280093</v>
      </c>
      <c r="C83" s="6">
        <v>45839.417101817133</v>
      </c>
      <c r="D83" t="s">
        <v>24</v>
      </c>
      <c r="E83" t="s">
        <v>15</v>
      </c>
      <c r="F83" t="s">
        <v>184</v>
      </c>
      <c r="G83" t="s">
        <v>22</v>
      </c>
      <c r="H83" s="2">
        <f>(Table13[[#This Row],[resolution_date]]-Table13[[#This Row],[submission_date]])*24</f>
        <v>105.16462888894603</v>
      </c>
      <c r="I83" s="7" t="str">
        <f>TEXT(Table13[[#This Row],[submission_date]],"dddd")</f>
        <v>Friday</v>
      </c>
      <c r="J83" t="str">
        <f>TEXT(Table13[[#This Row],[submission_date]],"mmmm")</f>
        <v>June</v>
      </c>
      <c r="K83" t="str">
        <f>TEXT(Table13[[#This Row],[submission_date]],"hh")</f>
        <v>00</v>
      </c>
    </row>
    <row r="84" spans="1:11" x14ac:dyDescent="0.25">
      <c r="A84" t="s">
        <v>185</v>
      </c>
      <c r="B84" s="6">
        <v>45879.470454189817</v>
      </c>
      <c r="C84" s="6">
        <v>45881.348121898147</v>
      </c>
      <c r="D84" t="s">
        <v>6</v>
      </c>
      <c r="E84" t="s">
        <v>7</v>
      </c>
      <c r="F84" t="s">
        <v>186</v>
      </c>
      <c r="G84" t="s">
        <v>9</v>
      </c>
      <c r="H84" s="2">
        <f>(Table13[[#This Row],[resolution_date]]-Table13[[#This Row],[submission_date]])*24</f>
        <v>45.064024999912363</v>
      </c>
      <c r="I84" s="7" t="str">
        <f>TEXT(Table13[[#This Row],[submission_date]],"dddd")</f>
        <v>Sunday</v>
      </c>
      <c r="J84" t="str">
        <f>TEXT(Table13[[#This Row],[submission_date]],"mmmm")</f>
        <v>August</v>
      </c>
      <c r="K84" t="str">
        <f>TEXT(Table13[[#This Row],[submission_date]],"hh")</f>
        <v>11</v>
      </c>
    </row>
    <row r="85" spans="1:11" x14ac:dyDescent="0.25">
      <c r="A85" t="s">
        <v>187</v>
      </c>
      <c r="B85" s="6">
        <v>45867.075831828704</v>
      </c>
      <c r="C85" s="6">
        <v>45869.559900428241</v>
      </c>
      <c r="D85" t="s">
        <v>74</v>
      </c>
      <c r="E85" t="s">
        <v>18</v>
      </c>
      <c r="F85" t="s">
        <v>188</v>
      </c>
      <c r="G85" t="s">
        <v>22</v>
      </c>
      <c r="H85" s="2">
        <f>(Table13[[#This Row],[resolution_date]]-Table13[[#This Row],[submission_date]])*24</f>
        <v>59.617646388884168</v>
      </c>
      <c r="I85" s="7" t="str">
        <f>TEXT(Table13[[#This Row],[submission_date]],"dddd")</f>
        <v>Tuesday</v>
      </c>
      <c r="J85" t="str">
        <f>TEXT(Table13[[#This Row],[submission_date]],"mmmm")</f>
        <v>July</v>
      </c>
      <c r="K85" t="str">
        <f>TEXT(Table13[[#This Row],[submission_date]],"hh")</f>
        <v>01</v>
      </c>
    </row>
    <row r="86" spans="1:11" x14ac:dyDescent="0.25">
      <c r="A86" t="s">
        <v>189</v>
      </c>
      <c r="B86" s="6">
        <v>45844.422962789351</v>
      </c>
      <c r="C86" s="6">
        <v>45849.014388842596</v>
      </c>
      <c r="D86" t="s">
        <v>14</v>
      </c>
      <c r="E86" t="s">
        <v>48</v>
      </c>
      <c r="F86" t="s">
        <v>190</v>
      </c>
      <c r="G86" t="s">
        <v>22</v>
      </c>
      <c r="H86" s="2">
        <f>(Table13[[#This Row],[resolution_date]]-Table13[[#This Row],[submission_date]])*24</f>
        <v>110.1942252778681</v>
      </c>
      <c r="I86" s="7" t="str">
        <f>TEXT(Table13[[#This Row],[submission_date]],"dddd")</f>
        <v>Sunday</v>
      </c>
      <c r="J86" t="str">
        <f>TEXT(Table13[[#This Row],[submission_date]],"mmmm")</f>
        <v>July</v>
      </c>
      <c r="K86" t="str">
        <f>TEXT(Table13[[#This Row],[submission_date]],"hh")</f>
        <v>10</v>
      </c>
    </row>
    <row r="87" spans="1:11" x14ac:dyDescent="0.25">
      <c r="A87" t="s">
        <v>191</v>
      </c>
      <c r="B87" s="6">
        <v>45868.183028981482</v>
      </c>
      <c r="C87" s="6">
        <v>45868.547340937497</v>
      </c>
      <c r="D87" t="s">
        <v>24</v>
      </c>
      <c r="E87" t="s">
        <v>25</v>
      </c>
      <c r="F87" t="s">
        <v>192</v>
      </c>
      <c r="G87" t="s">
        <v>4</v>
      </c>
      <c r="H87" s="2">
        <f>(Table13[[#This Row],[resolution_date]]-Table13[[#This Row],[submission_date]])*24</f>
        <v>8.7434869443532079</v>
      </c>
      <c r="I87" s="7" t="str">
        <f>TEXT(Table13[[#This Row],[submission_date]],"dddd")</f>
        <v>Wednesday</v>
      </c>
      <c r="J87" t="str">
        <f>TEXT(Table13[[#This Row],[submission_date]],"mmmm")</f>
        <v>July</v>
      </c>
      <c r="K87" t="str">
        <f>TEXT(Table13[[#This Row],[submission_date]],"hh")</f>
        <v>04</v>
      </c>
    </row>
    <row r="88" spans="1:11" x14ac:dyDescent="0.25">
      <c r="A88" t="s">
        <v>193</v>
      </c>
      <c r="B88" s="6">
        <v>45892.221289976849</v>
      </c>
      <c r="C88" s="6">
        <v>45893.692486550928</v>
      </c>
      <c r="D88" t="s">
        <v>6</v>
      </c>
      <c r="E88" t="s">
        <v>35</v>
      </c>
      <c r="F88" t="s">
        <v>194</v>
      </c>
      <c r="G88" t="s">
        <v>9</v>
      </c>
      <c r="H88" s="2">
        <f>(Table13[[#This Row],[resolution_date]]-Table13[[#This Row],[submission_date]])*24</f>
        <v>35.308717777894344</v>
      </c>
      <c r="I88" s="7" t="str">
        <f>TEXT(Table13[[#This Row],[submission_date]],"dddd")</f>
        <v>Saturday</v>
      </c>
      <c r="J88" t="str">
        <f>TEXT(Table13[[#This Row],[submission_date]],"mmmm")</f>
        <v>August</v>
      </c>
      <c r="K88" t="str">
        <f>TEXT(Table13[[#This Row],[submission_date]],"hh")</f>
        <v>05</v>
      </c>
    </row>
    <row r="89" spans="1:11" x14ac:dyDescent="0.25">
      <c r="A89" t="s">
        <v>195</v>
      </c>
      <c r="B89" s="6">
        <v>45848.132901874997</v>
      </c>
      <c r="C89" s="6">
        <v>45848.966689872686</v>
      </c>
      <c r="D89" t="s">
        <v>14</v>
      </c>
      <c r="E89" t="s">
        <v>11</v>
      </c>
      <c r="F89" t="s">
        <v>196</v>
      </c>
      <c r="G89" t="s">
        <v>9</v>
      </c>
      <c r="H89" s="2">
        <f>(Table13[[#This Row],[resolution_date]]-Table13[[#This Row],[submission_date]])*24</f>
        <v>20.010911944555119</v>
      </c>
      <c r="I89" s="7" t="str">
        <f>TEXT(Table13[[#This Row],[submission_date]],"dddd")</f>
        <v>Thursday</v>
      </c>
      <c r="J89" t="str">
        <f>TEXT(Table13[[#This Row],[submission_date]],"mmmm")</f>
        <v>July</v>
      </c>
      <c r="K89" t="str">
        <f>TEXT(Table13[[#This Row],[submission_date]],"hh")</f>
        <v>03</v>
      </c>
    </row>
    <row r="90" spans="1:11" x14ac:dyDescent="0.25">
      <c r="A90" t="s">
        <v>197</v>
      </c>
      <c r="B90" s="6">
        <v>45912.790745324077</v>
      </c>
      <c r="C90" s="6">
        <v>45914.105542256948</v>
      </c>
      <c r="D90" t="s">
        <v>6</v>
      </c>
      <c r="E90" t="s">
        <v>25</v>
      </c>
      <c r="F90" t="s">
        <v>198</v>
      </c>
      <c r="G90" t="s">
        <v>9</v>
      </c>
      <c r="H90" s="2">
        <f>(Table13[[#This Row],[resolution_date]]-Table13[[#This Row],[submission_date]])*24</f>
        <v>31.555126388906501</v>
      </c>
      <c r="I90" s="7" t="str">
        <f>TEXT(Table13[[#This Row],[submission_date]],"dddd")</f>
        <v>Friday</v>
      </c>
      <c r="J90" t="str">
        <f>TEXT(Table13[[#This Row],[submission_date]],"mmmm")</f>
        <v>September</v>
      </c>
      <c r="K90" t="str">
        <f>TEXT(Table13[[#This Row],[submission_date]],"hh")</f>
        <v>18</v>
      </c>
    </row>
    <row r="91" spans="1:11" x14ac:dyDescent="0.25">
      <c r="A91" t="s">
        <v>199</v>
      </c>
      <c r="B91" s="6">
        <v>45902.639425532405</v>
      </c>
      <c r="C91" s="6">
        <v>45908.681624143515</v>
      </c>
      <c r="D91" t="s">
        <v>6</v>
      </c>
      <c r="E91" t="s">
        <v>25</v>
      </c>
      <c r="F91" t="s">
        <v>200</v>
      </c>
      <c r="G91" t="s">
        <v>22</v>
      </c>
      <c r="H91" s="2">
        <f>(Table13[[#This Row],[resolution_date]]-Table13[[#This Row],[submission_date]])*24</f>
        <v>145.01276666665217</v>
      </c>
      <c r="I91" s="7" t="str">
        <f>TEXT(Table13[[#This Row],[submission_date]],"dddd")</f>
        <v>Tuesday</v>
      </c>
      <c r="J91" t="str">
        <f>TEXT(Table13[[#This Row],[submission_date]],"mmmm")</f>
        <v>September</v>
      </c>
      <c r="K91" t="str">
        <f>TEXT(Table13[[#This Row],[submission_date]],"hh")</f>
        <v>15</v>
      </c>
    </row>
    <row r="92" spans="1:11" x14ac:dyDescent="0.25">
      <c r="A92" t="s">
        <v>201</v>
      </c>
      <c r="B92" s="6">
        <v>45850.503205740744</v>
      </c>
      <c r="C92" s="6">
        <v>45851.26551005787</v>
      </c>
      <c r="D92" t="s">
        <v>6</v>
      </c>
      <c r="E92" t="s">
        <v>2</v>
      </c>
      <c r="F92" t="s">
        <v>202</v>
      </c>
      <c r="G92" t="s">
        <v>9</v>
      </c>
      <c r="H92" s="2">
        <f>(Table13[[#This Row],[resolution_date]]-Table13[[#This Row],[submission_date]])*24</f>
        <v>18.295303611026611</v>
      </c>
      <c r="I92" s="7" t="str">
        <f>TEXT(Table13[[#This Row],[submission_date]],"dddd")</f>
        <v>Saturday</v>
      </c>
      <c r="J92" t="str">
        <f>TEXT(Table13[[#This Row],[submission_date]],"mmmm")</f>
        <v>July</v>
      </c>
      <c r="K92" t="str">
        <f>TEXT(Table13[[#This Row],[submission_date]],"hh")</f>
        <v>12</v>
      </c>
    </row>
    <row r="93" spans="1:11" x14ac:dyDescent="0.25">
      <c r="A93" t="s">
        <v>203</v>
      </c>
      <c r="B93" s="6">
        <v>45875.192167974536</v>
      </c>
      <c r="C93" s="6">
        <v>45881.464590856478</v>
      </c>
      <c r="D93" t="s">
        <v>6</v>
      </c>
      <c r="E93" t="s">
        <v>25</v>
      </c>
      <c r="F93" t="s">
        <v>204</v>
      </c>
      <c r="G93" t="s">
        <v>22</v>
      </c>
      <c r="H93" s="2">
        <f>(Table13[[#This Row],[resolution_date]]-Table13[[#This Row],[submission_date]])*24</f>
        <v>150.53814916661941</v>
      </c>
      <c r="I93" s="7" t="str">
        <f>TEXT(Table13[[#This Row],[submission_date]],"dddd")</f>
        <v>Wednesday</v>
      </c>
      <c r="J93" t="str">
        <f>TEXT(Table13[[#This Row],[submission_date]],"mmmm")</f>
        <v>August</v>
      </c>
      <c r="K93" t="str">
        <f>TEXT(Table13[[#This Row],[submission_date]],"hh")</f>
        <v>04</v>
      </c>
    </row>
    <row r="94" spans="1:11" x14ac:dyDescent="0.25">
      <c r="A94" t="s">
        <v>205</v>
      </c>
      <c r="B94" s="6">
        <v>45832.518167638889</v>
      </c>
      <c r="C94" s="6">
        <v>45834.451125613428</v>
      </c>
      <c r="D94" t="s">
        <v>38</v>
      </c>
      <c r="E94" t="s">
        <v>15</v>
      </c>
      <c r="F94" t="s">
        <v>206</v>
      </c>
      <c r="G94" t="s">
        <v>9</v>
      </c>
      <c r="H94" s="2">
        <f>(Table13[[#This Row],[resolution_date]]-Table13[[#This Row],[submission_date]])*24</f>
        <v>46.390991388936527</v>
      </c>
      <c r="I94" s="7" t="str">
        <f>TEXT(Table13[[#This Row],[submission_date]],"dddd")</f>
        <v>Tuesday</v>
      </c>
      <c r="J94" t="str">
        <f>TEXT(Table13[[#This Row],[submission_date]],"mmmm")</f>
        <v>June</v>
      </c>
      <c r="K94" t="str">
        <f>TEXT(Table13[[#This Row],[submission_date]],"hh")</f>
        <v>12</v>
      </c>
    </row>
    <row r="95" spans="1:11" x14ac:dyDescent="0.25">
      <c r="A95" t="s">
        <v>207</v>
      </c>
      <c r="B95" s="6">
        <v>45833.894249444442</v>
      </c>
      <c r="C95" s="6">
        <v>45837.297820671294</v>
      </c>
      <c r="D95" t="s">
        <v>1</v>
      </c>
      <c r="E95" t="s">
        <v>15</v>
      </c>
      <c r="F95" t="s">
        <v>208</v>
      </c>
      <c r="G95" t="s">
        <v>22</v>
      </c>
      <c r="H95" s="2">
        <f>(Table13[[#This Row],[resolution_date]]-Table13[[#This Row],[submission_date]])*24</f>
        <v>81.685709444456734</v>
      </c>
      <c r="I95" s="7" t="str">
        <f>TEXT(Table13[[#This Row],[submission_date]],"dddd")</f>
        <v>Wednesday</v>
      </c>
      <c r="J95" t="str">
        <f>TEXT(Table13[[#This Row],[submission_date]],"mmmm")</f>
        <v>June</v>
      </c>
      <c r="K95" t="str">
        <f>TEXT(Table13[[#This Row],[submission_date]],"hh")</f>
        <v>21</v>
      </c>
    </row>
    <row r="96" spans="1:11" x14ac:dyDescent="0.25">
      <c r="A96" t="s">
        <v>209</v>
      </c>
      <c r="B96" s="6">
        <v>45863.629643032407</v>
      </c>
      <c r="C96" s="6">
        <v>45868.030028715279</v>
      </c>
      <c r="D96" t="s">
        <v>24</v>
      </c>
      <c r="E96" t="s">
        <v>35</v>
      </c>
      <c r="F96" t="s">
        <v>210</v>
      </c>
      <c r="G96" t="s">
        <v>22</v>
      </c>
      <c r="H96" s="2">
        <f>(Table13[[#This Row],[resolution_date]]-Table13[[#This Row],[submission_date]])*24</f>
        <v>105.60925638891058</v>
      </c>
      <c r="I96" s="7" t="str">
        <f>TEXT(Table13[[#This Row],[submission_date]],"dddd")</f>
        <v>Friday</v>
      </c>
      <c r="J96" t="str">
        <f>TEXT(Table13[[#This Row],[submission_date]],"mmmm")</f>
        <v>July</v>
      </c>
      <c r="K96" t="str">
        <f>TEXT(Table13[[#This Row],[submission_date]],"hh")</f>
        <v>15</v>
      </c>
    </row>
    <row r="97" spans="1:11" x14ac:dyDescent="0.25">
      <c r="A97" t="s">
        <v>211</v>
      </c>
      <c r="B97" s="6">
        <v>45863.74130209491</v>
      </c>
      <c r="C97" s="6">
        <v>45864.909261319444</v>
      </c>
      <c r="D97" t="s">
        <v>1</v>
      </c>
      <c r="E97" t="s">
        <v>2</v>
      </c>
      <c r="F97" t="s">
        <v>212</v>
      </c>
      <c r="G97" t="s">
        <v>9</v>
      </c>
      <c r="H97" s="2">
        <f>(Table13[[#This Row],[resolution_date]]-Table13[[#This Row],[submission_date]])*24</f>
        <v>28.031021388829686</v>
      </c>
      <c r="I97" s="7" t="str">
        <f>TEXT(Table13[[#This Row],[submission_date]],"dddd")</f>
        <v>Friday</v>
      </c>
      <c r="J97" t="str">
        <f>TEXT(Table13[[#This Row],[submission_date]],"mmmm")</f>
        <v>July</v>
      </c>
      <c r="K97" t="str">
        <f>TEXT(Table13[[#This Row],[submission_date]],"hh")</f>
        <v>17</v>
      </c>
    </row>
    <row r="98" spans="1:11" x14ac:dyDescent="0.25">
      <c r="A98" t="s">
        <v>213</v>
      </c>
      <c r="B98" s="6">
        <v>45881.742879791665</v>
      </c>
      <c r="C98" s="6">
        <v>45883.565504467595</v>
      </c>
      <c r="D98" t="s">
        <v>24</v>
      </c>
      <c r="E98" t="s">
        <v>18</v>
      </c>
      <c r="F98" t="s">
        <v>214</v>
      </c>
      <c r="G98" t="s">
        <v>22</v>
      </c>
      <c r="H98" s="2">
        <f>(Table13[[#This Row],[resolution_date]]-Table13[[#This Row],[submission_date]])*24</f>
        <v>43.742992222309113</v>
      </c>
      <c r="I98" s="7" t="str">
        <f>TEXT(Table13[[#This Row],[submission_date]],"dddd")</f>
        <v>Tuesday</v>
      </c>
      <c r="J98" t="str">
        <f>TEXT(Table13[[#This Row],[submission_date]],"mmmm")</f>
        <v>August</v>
      </c>
      <c r="K98" t="str">
        <f>TEXT(Table13[[#This Row],[submission_date]],"hh")</f>
        <v>17</v>
      </c>
    </row>
    <row r="99" spans="1:11" x14ac:dyDescent="0.25">
      <c r="A99" t="s">
        <v>215</v>
      </c>
      <c r="B99" s="6">
        <v>45863.88633465278</v>
      </c>
      <c r="C99" s="6">
        <v>45870.561789224535</v>
      </c>
      <c r="D99" t="s">
        <v>14</v>
      </c>
      <c r="E99" t="s">
        <v>25</v>
      </c>
      <c r="F99" t="s">
        <v>216</v>
      </c>
      <c r="G99" t="s">
        <v>22</v>
      </c>
      <c r="H99" s="2">
        <f>(Table13[[#This Row],[resolution_date]]-Table13[[#This Row],[submission_date]])*24</f>
        <v>160.21090972214006</v>
      </c>
      <c r="I99" s="7" t="str">
        <f>TEXT(Table13[[#This Row],[submission_date]],"dddd")</f>
        <v>Friday</v>
      </c>
      <c r="J99" t="str">
        <f>TEXT(Table13[[#This Row],[submission_date]],"mmmm")</f>
        <v>July</v>
      </c>
      <c r="K99" t="str">
        <f>TEXT(Table13[[#This Row],[submission_date]],"hh")</f>
        <v>21</v>
      </c>
    </row>
    <row r="100" spans="1:11" x14ac:dyDescent="0.25">
      <c r="A100" t="s">
        <v>217</v>
      </c>
      <c r="B100" s="6">
        <v>45914.807502268515</v>
      </c>
      <c r="C100" s="6">
        <v>45914.935071701388</v>
      </c>
      <c r="D100" t="s">
        <v>6</v>
      </c>
      <c r="E100" t="s">
        <v>7</v>
      </c>
      <c r="F100" t="s">
        <v>218</v>
      </c>
      <c r="G100" t="s">
        <v>4</v>
      </c>
      <c r="H100" s="2">
        <f>(Table13[[#This Row],[resolution_date]]-Table13[[#This Row],[submission_date]])*24</f>
        <v>3.0616663889377378</v>
      </c>
      <c r="I100" s="7" t="str">
        <f>TEXT(Table13[[#This Row],[submission_date]],"dddd")</f>
        <v>Sunday</v>
      </c>
      <c r="J100" t="str">
        <f>TEXT(Table13[[#This Row],[submission_date]],"mmmm")</f>
        <v>September</v>
      </c>
      <c r="K100" t="str">
        <f>TEXT(Table13[[#This Row],[submission_date]],"hh")</f>
        <v>19</v>
      </c>
    </row>
    <row r="101" spans="1:11" x14ac:dyDescent="0.25">
      <c r="A101" t="s">
        <v>219</v>
      </c>
      <c r="B101" s="6">
        <v>45869.010687291666</v>
      </c>
      <c r="C101" s="6">
        <v>45869.377826099539</v>
      </c>
      <c r="D101" t="s">
        <v>14</v>
      </c>
      <c r="E101" t="s">
        <v>18</v>
      </c>
      <c r="F101" t="s">
        <v>220</v>
      </c>
      <c r="G101" t="s">
        <v>9</v>
      </c>
      <c r="H101" s="2">
        <f>(Table13[[#This Row],[resolution_date]]-Table13[[#This Row],[submission_date]])*24</f>
        <v>8.8113313889480196</v>
      </c>
      <c r="I101" s="7" t="str">
        <f>TEXT(Table13[[#This Row],[submission_date]],"dddd")</f>
        <v>Thursday</v>
      </c>
      <c r="J101" t="str">
        <f>TEXT(Table13[[#This Row],[submission_date]],"mmmm")</f>
        <v>July</v>
      </c>
      <c r="K101" t="str">
        <f>TEXT(Table13[[#This Row],[submission_date]],"hh")</f>
        <v>00</v>
      </c>
    </row>
    <row r="102" spans="1:11" x14ac:dyDescent="0.25">
      <c r="A102" t="s">
        <v>221</v>
      </c>
      <c r="B102" s="6">
        <v>45886.551199293979</v>
      </c>
      <c r="C102" s="6">
        <v>45886.637387997682</v>
      </c>
      <c r="D102" t="s">
        <v>6</v>
      </c>
      <c r="E102" t="s">
        <v>25</v>
      </c>
      <c r="F102" t="s">
        <v>222</v>
      </c>
      <c r="G102" t="s">
        <v>108</v>
      </c>
      <c r="H102" s="2">
        <f>(Table13[[#This Row],[resolution_date]]-Table13[[#This Row],[submission_date]])*24</f>
        <v>2.0685288888635114</v>
      </c>
      <c r="I102" s="7" t="str">
        <f>TEXT(Table13[[#This Row],[submission_date]],"dddd")</f>
        <v>Sunday</v>
      </c>
      <c r="J102" t="str">
        <f>TEXT(Table13[[#This Row],[submission_date]],"mmmm")</f>
        <v>August</v>
      </c>
      <c r="K102" t="str">
        <f>TEXT(Table13[[#This Row],[submission_date]],"hh")</f>
        <v>13</v>
      </c>
    </row>
    <row r="103" spans="1:11" x14ac:dyDescent="0.25">
      <c r="A103" t="s">
        <v>223</v>
      </c>
      <c r="B103" s="6">
        <v>45911.538317349536</v>
      </c>
      <c r="C103" s="6">
        <v>45913.271872893522</v>
      </c>
      <c r="D103" t="s">
        <v>6</v>
      </c>
      <c r="E103" t="s">
        <v>35</v>
      </c>
      <c r="F103" t="s">
        <v>224</v>
      </c>
      <c r="G103" t="s">
        <v>9</v>
      </c>
      <c r="H103" s="2">
        <f>(Table13[[#This Row],[resolution_date]]-Table13[[#This Row],[submission_date]])*24</f>
        <v>41.605333055660594</v>
      </c>
      <c r="I103" s="7" t="str">
        <f>TEXT(Table13[[#This Row],[submission_date]],"dddd")</f>
        <v>Thursday</v>
      </c>
      <c r="J103" t="str">
        <f>TEXT(Table13[[#This Row],[submission_date]],"mmmm")</f>
        <v>September</v>
      </c>
      <c r="K103" t="str">
        <f>TEXT(Table13[[#This Row],[submission_date]],"hh")</f>
        <v>12</v>
      </c>
    </row>
    <row r="104" spans="1:11" x14ac:dyDescent="0.25">
      <c r="A104" t="s">
        <v>225</v>
      </c>
      <c r="B104" s="6">
        <v>45839.36759386574</v>
      </c>
      <c r="C104" s="6">
        <v>45840.472722094906</v>
      </c>
      <c r="D104" t="s">
        <v>1</v>
      </c>
      <c r="E104" t="s">
        <v>25</v>
      </c>
      <c r="F104" t="s">
        <v>226</v>
      </c>
      <c r="G104" t="s">
        <v>22</v>
      </c>
      <c r="H104" s="2">
        <f>(Table13[[#This Row],[resolution_date]]-Table13[[#This Row],[submission_date]])*24</f>
        <v>26.523077499994542</v>
      </c>
      <c r="I104" s="7" t="str">
        <f>TEXT(Table13[[#This Row],[submission_date]],"dddd")</f>
        <v>Tuesday</v>
      </c>
      <c r="J104" t="str">
        <f>TEXT(Table13[[#This Row],[submission_date]],"mmmm")</f>
        <v>July</v>
      </c>
      <c r="K104" t="str">
        <f>TEXT(Table13[[#This Row],[submission_date]],"hh")</f>
        <v>08</v>
      </c>
    </row>
    <row r="105" spans="1:11" x14ac:dyDescent="0.25">
      <c r="A105" t="s">
        <v>227</v>
      </c>
      <c r="B105" s="6">
        <v>45833.941698634262</v>
      </c>
      <c r="C105" s="6">
        <v>45834.416492488424</v>
      </c>
      <c r="D105" t="s">
        <v>6</v>
      </c>
      <c r="E105" t="s">
        <v>48</v>
      </c>
      <c r="F105" t="s">
        <v>228</v>
      </c>
      <c r="G105" t="s">
        <v>9</v>
      </c>
      <c r="H105" s="2">
        <f>(Table13[[#This Row],[resolution_date]]-Table13[[#This Row],[submission_date]])*24</f>
        <v>11.395052499894518</v>
      </c>
      <c r="I105" s="7" t="str">
        <f>TEXT(Table13[[#This Row],[submission_date]],"dddd")</f>
        <v>Wednesday</v>
      </c>
      <c r="J105" t="str">
        <f>TEXT(Table13[[#This Row],[submission_date]],"mmmm")</f>
        <v>June</v>
      </c>
      <c r="K105" t="str">
        <f>TEXT(Table13[[#This Row],[submission_date]],"hh")</f>
        <v>22</v>
      </c>
    </row>
    <row r="106" spans="1:11" x14ac:dyDescent="0.25">
      <c r="A106" t="s">
        <v>229</v>
      </c>
      <c r="B106" s="6">
        <v>45906.263209618053</v>
      </c>
      <c r="C106" s="6">
        <v>45906.441982453704</v>
      </c>
      <c r="D106" t="s">
        <v>74</v>
      </c>
      <c r="E106" t="s">
        <v>48</v>
      </c>
      <c r="F106" t="s">
        <v>230</v>
      </c>
      <c r="G106" t="s">
        <v>4</v>
      </c>
      <c r="H106" s="2">
        <f>(Table13[[#This Row],[resolution_date]]-Table13[[#This Row],[submission_date]])*24</f>
        <v>4.2905480556073599</v>
      </c>
      <c r="I106" s="7" t="str">
        <f>TEXT(Table13[[#This Row],[submission_date]],"dddd")</f>
        <v>Saturday</v>
      </c>
      <c r="J106" t="str">
        <f>TEXT(Table13[[#This Row],[submission_date]],"mmmm")</f>
        <v>September</v>
      </c>
      <c r="K106" t="str">
        <f>TEXT(Table13[[#This Row],[submission_date]],"hh")</f>
        <v>06</v>
      </c>
    </row>
    <row r="107" spans="1:11" x14ac:dyDescent="0.25">
      <c r="A107" t="s">
        <v>231</v>
      </c>
      <c r="B107" s="6">
        <v>45872.281321724535</v>
      </c>
      <c r="C107" s="6">
        <v>45874.695412037036</v>
      </c>
      <c r="D107" t="s">
        <v>38</v>
      </c>
      <c r="E107" t="s">
        <v>39</v>
      </c>
      <c r="F107" t="s">
        <v>232</v>
      </c>
      <c r="G107" t="s">
        <v>22</v>
      </c>
      <c r="H107" s="2">
        <f>(Table13[[#This Row],[resolution_date]]-Table13[[#This Row],[submission_date]])*24</f>
        <v>57.938167500018608</v>
      </c>
      <c r="I107" s="7" t="str">
        <f>TEXT(Table13[[#This Row],[submission_date]],"dddd")</f>
        <v>Sunday</v>
      </c>
      <c r="J107" t="str">
        <f>TEXT(Table13[[#This Row],[submission_date]],"mmmm")</f>
        <v>August</v>
      </c>
      <c r="K107" t="str">
        <f>TEXT(Table13[[#This Row],[submission_date]],"hh")</f>
        <v>06</v>
      </c>
    </row>
    <row r="108" spans="1:11" x14ac:dyDescent="0.25">
      <c r="A108" t="s">
        <v>233</v>
      </c>
      <c r="B108" s="6">
        <v>45886.512519641205</v>
      </c>
      <c r="C108" s="6">
        <v>45887.770572569447</v>
      </c>
      <c r="D108" t="s">
        <v>74</v>
      </c>
      <c r="E108" t="s">
        <v>11</v>
      </c>
      <c r="F108" t="s">
        <v>234</v>
      </c>
      <c r="G108" t="s">
        <v>9</v>
      </c>
      <c r="H108" s="2">
        <f>(Table13[[#This Row],[resolution_date]]-Table13[[#This Row],[submission_date]])*24</f>
        <v>30.193270277814008</v>
      </c>
      <c r="I108" s="7" t="str">
        <f>TEXT(Table13[[#This Row],[submission_date]],"dddd")</f>
        <v>Sunday</v>
      </c>
      <c r="J108" t="str">
        <f>TEXT(Table13[[#This Row],[submission_date]],"mmmm")</f>
        <v>August</v>
      </c>
      <c r="K108" t="str">
        <f>TEXT(Table13[[#This Row],[submission_date]],"hh")</f>
        <v>12</v>
      </c>
    </row>
    <row r="109" spans="1:11" x14ac:dyDescent="0.25">
      <c r="A109" t="s">
        <v>235</v>
      </c>
      <c r="B109" s="6">
        <v>45866.620971516204</v>
      </c>
      <c r="C109" s="6">
        <v>45869.341103599538</v>
      </c>
      <c r="D109" t="s">
        <v>14</v>
      </c>
      <c r="E109" t="s">
        <v>7</v>
      </c>
      <c r="F109" t="s">
        <v>236</v>
      </c>
      <c r="G109" t="s">
        <v>22</v>
      </c>
      <c r="H109" s="2">
        <f>(Table13[[#This Row],[resolution_date]]-Table13[[#This Row],[submission_date]])*24</f>
        <v>65.283170000009704</v>
      </c>
      <c r="I109" s="7" t="str">
        <f>TEXT(Table13[[#This Row],[submission_date]],"dddd")</f>
        <v>Monday</v>
      </c>
      <c r="J109" t="str">
        <f>TEXT(Table13[[#This Row],[submission_date]],"mmmm")</f>
        <v>July</v>
      </c>
      <c r="K109" t="str">
        <f>TEXT(Table13[[#This Row],[submission_date]],"hh")</f>
        <v>14</v>
      </c>
    </row>
    <row r="110" spans="1:11" x14ac:dyDescent="0.25">
      <c r="A110" t="s">
        <v>237</v>
      </c>
      <c r="B110" s="6">
        <v>45850.289993865743</v>
      </c>
      <c r="C110" s="6">
        <v>45850.497444108798</v>
      </c>
      <c r="D110" t="s">
        <v>14</v>
      </c>
      <c r="E110" t="s">
        <v>11</v>
      </c>
      <c r="F110" t="s">
        <v>238</v>
      </c>
      <c r="G110" t="s">
        <v>4</v>
      </c>
      <c r="H110" s="2">
        <f>(Table13[[#This Row],[resolution_date]]-Table13[[#This Row],[submission_date]])*24</f>
        <v>4.9788058333215304</v>
      </c>
      <c r="I110" s="7" t="str">
        <f>TEXT(Table13[[#This Row],[submission_date]],"dddd")</f>
        <v>Saturday</v>
      </c>
      <c r="J110" t="str">
        <f>TEXT(Table13[[#This Row],[submission_date]],"mmmm")</f>
        <v>July</v>
      </c>
      <c r="K110" t="str">
        <f>TEXT(Table13[[#This Row],[submission_date]],"hh")</f>
        <v>06</v>
      </c>
    </row>
    <row r="111" spans="1:11" x14ac:dyDescent="0.25">
      <c r="A111" t="s">
        <v>239</v>
      </c>
      <c r="B111" s="6">
        <v>45851.016814189818</v>
      </c>
      <c r="C111" s="6">
        <v>45857.933740289351</v>
      </c>
      <c r="D111" t="s">
        <v>6</v>
      </c>
      <c r="E111" t="s">
        <v>11</v>
      </c>
      <c r="F111" t="s">
        <v>240</v>
      </c>
      <c r="G111" t="s">
        <v>22</v>
      </c>
      <c r="H111" s="2">
        <f>(Table13[[#This Row],[resolution_date]]-Table13[[#This Row],[submission_date]])*24</f>
        <v>166.00622638879577</v>
      </c>
      <c r="I111" s="7" t="str">
        <f>TEXT(Table13[[#This Row],[submission_date]],"dddd")</f>
        <v>Sunday</v>
      </c>
      <c r="J111" t="str">
        <f>TEXT(Table13[[#This Row],[submission_date]],"mmmm")</f>
        <v>July</v>
      </c>
      <c r="K111" t="str">
        <f>TEXT(Table13[[#This Row],[submission_date]],"hh")</f>
        <v>00</v>
      </c>
    </row>
    <row r="112" spans="1:11" x14ac:dyDescent="0.25">
      <c r="A112" t="s">
        <v>241</v>
      </c>
      <c r="B112" s="6">
        <v>45852.247494618059</v>
      </c>
      <c r="C112" s="6">
        <v>45852.52489966435</v>
      </c>
      <c r="D112" t="s">
        <v>24</v>
      </c>
      <c r="E112" t="s">
        <v>35</v>
      </c>
      <c r="F112" t="s">
        <v>242</v>
      </c>
      <c r="G112" t="s">
        <v>4</v>
      </c>
      <c r="H112" s="2">
        <f>(Table13[[#This Row],[resolution_date]]-Table13[[#This Row],[submission_date]])*24</f>
        <v>6.6577211109688506</v>
      </c>
      <c r="I112" s="7" t="str">
        <f>TEXT(Table13[[#This Row],[submission_date]],"dddd")</f>
        <v>Monday</v>
      </c>
      <c r="J112" t="str">
        <f>TEXT(Table13[[#This Row],[submission_date]],"mmmm")</f>
        <v>July</v>
      </c>
      <c r="K112" t="str">
        <f>TEXT(Table13[[#This Row],[submission_date]],"hh")</f>
        <v>05</v>
      </c>
    </row>
    <row r="113" spans="1:11" x14ac:dyDescent="0.25">
      <c r="A113" t="s">
        <v>243</v>
      </c>
      <c r="B113" s="6">
        <v>45897.479103912039</v>
      </c>
      <c r="C113" s="6">
        <v>45904.444584293982</v>
      </c>
      <c r="D113" t="s">
        <v>6</v>
      </c>
      <c r="E113" t="s">
        <v>11</v>
      </c>
      <c r="F113" t="s">
        <v>244</v>
      </c>
      <c r="G113" t="s">
        <v>22</v>
      </c>
      <c r="H113" s="2">
        <f>(Table13[[#This Row],[resolution_date]]-Table13[[#This Row],[submission_date]])*24</f>
        <v>167.17152916663326</v>
      </c>
      <c r="I113" s="7" t="str">
        <f>TEXT(Table13[[#This Row],[submission_date]],"dddd")</f>
        <v>Thursday</v>
      </c>
      <c r="J113" t="str">
        <f>TEXT(Table13[[#This Row],[submission_date]],"mmmm")</f>
        <v>August</v>
      </c>
      <c r="K113" t="str">
        <f>TEXT(Table13[[#This Row],[submission_date]],"hh")</f>
        <v>11</v>
      </c>
    </row>
    <row r="114" spans="1:11" x14ac:dyDescent="0.25">
      <c r="A114" t="s">
        <v>245</v>
      </c>
      <c r="B114" s="6">
        <v>45897.33485097222</v>
      </c>
      <c r="C114" s="6">
        <v>45902.195088425928</v>
      </c>
      <c r="D114" t="s">
        <v>53</v>
      </c>
      <c r="E114" t="s">
        <v>7</v>
      </c>
      <c r="F114" t="s">
        <v>246</v>
      </c>
      <c r="G114" t="s">
        <v>22</v>
      </c>
      <c r="H114" s="2">
        <f>(Table13[[#This Row],[resolution_date]]-Table13[[#This Row],[submission_date]])*24</f>
        <v>116.64569888898404</v>
      </c>
      <c r="I114" s="7" t="str">
        <f>TEXT(Table13[[#This Row],[submission_date]],"dddd")</f>
        <v>Thursday</v>
      </c>
      <c r="J114" t="str">
        <f>TEXT(Table13[[#This Row],[submission_date]],"mmmm")</f>
        <v>August</v>
      </c>
      <c r="K114" t="str">
        <f>TEXT(Table13[[#This Row],[submission_date]],"hh")</f>
        <v>08</v>
      </c>
    </row>
    <row r="115" spans="1:11" x14ac:dyDescent="0.25">
      <c r="A115" t="s">
        <v>247</v>
      </c>
      <c r="B115" s="6">
        <v>45889.472084976849</v>
      </c>
      <c r="C115" s="6">
        <v>45889.563600474539</v>
      </c>
      <c r="D115" t="s">
        <v>14</v>
      </c>
      <c r="E115" t="s">
        <v>15</v>
      </c>
      <c r="F115" t="s">
        <v>248</v>
      </c>
      <c r="G115" t="s">
        <v>4</v>
      </c>
      <c r="H115" s="2">
        <f>(Table13[[#This Row],[resolution_date]]-Table13[[#This Row],[submission_date]])*24</f>
        <v>2.1963719445629977</v>
      </c>
      <c r="I115" s="7" t="str">
        <f>TEXT(Table13[[#This Row],[submission_date]],"dddd")</f>
        <v>Wednesday</v>
      </c>
      <c r="J115" t="str">
        <f>TEXT(Table13[[#This Row],[submission_date]],"mmmm")</f>
        <v>August</v>
      </c>
      <c r="K115" t="str">
        <f>TEXT(Table13[[#This Row],[submission_date]],"hh")</f>
        <v>11</v>
      </c>
    </row>
    <row r="116" spans="1:11" x14ac:dyDescent="0.25">
      <c r="A116" t="s">
        <v>249</v>
      </c>
      <c r="B116" s="6">
        <v>45834.277258101851</v>
      </c>
      <c r="C116" s="6">
        <v>45834.880186099537</v>
      </c>
      <c r="D116" t="s">
        <v>1</v>
      </c>
      <c r="E116" t="s">
        <v>18</v>
      </c>
      <c r="F116" t="s">
        <v>250</v>
      </c>
      <c r="G116" t="s">
        <v>9</v>
      </c>
      <c r="H116" s="2">
        <f>(Table13[[#This Row],[resolution_date]]-Table13[[#This Row],[submission_date]])*24</f>
        <v>14.470271944475826</v>
      </c>
      <c r="I116" s="7" t="str">
        <f>TEXT(Table13[[#This Row],[submission_date]],"dddd")</f>
        <v>Thursday</v>
      </c>
      <c r="J116" t="str">
        <f>TEXT(Table13[[#This Row],[submission_date]],"mmmm")</f>
        <v>June</v>
      </c>
      <c r="K116" t="str">
        <f>TEXT(Table13[[#This Row],[submission_date]],"hh")</f>
        <v>06</v>
      </c>
    </row>
    <row r="117" spans="1:11" x14ac:dyDescent="0.25">
      <c r="A117" t="s">
        <v>251</v>
      </c>
      <c r="B117" s="6">
        <v>45904.00158491898</v>
      </c>
      <c r="C117" s="6">
        <v>45908.743611006947</v>
      </c>
      <c r="D117" t="s">
        <v>24</v>
      </c>
      <c r="E117" t="s">
        <v>48</v>
      </c>
      <c r="F117" t="s">
        <v>252</v>
      </c>
      <c r="G117" t="s">
        <v>22</v>
      </c>
      <c r="H117" s="2">
        <f>(Table13[[#This Row],[resolution_date]]-Table13[[#This Row],[submission_date]])*24</f>
        <v>113.80862611118937</v>
      </c>
      <c r="I117" s="7" t="str">
        <f>TEXT(Table13[[#This Row],[submission_date]],"dddd")</f>
        <v>Thursday</v>
      </c>
      <c r="J117" t="str">
        <f>TEXT(Table13[[#This Row],[submission_date]],"mmmm")</f>
        <v>September</v>
      </c>
      <c r="K117" t="str">
        <f>TEXT(Table13[[#This Row],[submission_date]],"hh")</f>
        <v>00</v>
      </c>
    </row>
    <row r="118" spans="1:11" x14ac:dyDescent="0.25">
      <c r="A118" t="s">
        <v>253</v>
      </c>
      <c r="B118" s="6">
        <v>45852.145348541664</v>
      </c>
      <c r="C118" s="6">
        <v>45853.493291354163</v>
      </c>
      <c r="D118" t="s">
        <v>6</v>
      </c>
      <c r="E118" t="s">
        <v>11</v>
      </c>
      <c r="F118" t="s">
        <v>254</v>
      </c>
      <c r="G118" t="s">
        <v>9</v>
      </c>
      <c r="H118" s="2">
        <f>(Table13[[#This Row],[resolution_date]]-Table13[[#This Row],[submission_date]])*24</f>
        <v>32.350627499981783</v>
      </c>
      <c r="I118" s="7" t="str">
        <f>TEXT(Table13[[#This Row],[submission_date]],"dddd")</f>
        <v>Monday</v>
      </c>
      <c r="J118" t="str">
        <f>TEXT(Table13[[#This Row],[submission_date]],"mmmm")</f>
        <v>July</v>
      </c>
      <c r="K118" t="str">
        <f>TEXT(Table13[[#This Row],[submission_date]],"hh")</f>
        <v>03</v>
      </c>
    </row>
    <row r="119" spans="1:11" x14ac:dyDescent="0.25">
      <c r="A119" t="s">
        <v>255</v>
      </c>
      <c r="B119" s="6">
        <v>45862.277817847222</v>
      </c>
      <c r="C119" s="6">
        <v>45864.09636747685</v>
      </c>
      <c r="D119" t="s">
        <v>24</v>
      </c>
      <c r="E119" t="s">
        <v>39</v>
      </c>
      <c r="F119" t="s">
        <v>256</v>
      </c>
      <c r="G119" t="s">
        <v>9</v>
      </c>
      <c r="H119" s="2">
        <f>(Table13[[#This Row],[resolution_date]]-Table13[[#This Row],[submission_date]])*24</f>
        <v>43.64519111107802</v>
      </c>
      <c r="I119" s="7" t="str">
        <f>TEXT(Table13[[#This Row],[submission_date]],"dddd")</f>
        <v>Thursday</v>
      </c>
      <c r="J119" t="str">
        <f>TEXT(Table13[[#This Row],[submission_date]],"mmmm")</f>
        <v>July</v>
      </c>
      <c r="K119" t="str">
        <f>TEXT(Table13[[#This Row],[submission_date]],"hh")</f>
        <v>06</v>
      </c>
    </row>
    <row r="120" spans="1:11" x14ac:dyDescent="0.25">
      <c r="A120" t="s">
        <v>257</v>
      </c>
      <c r="B120" s="6">
        <v>45872.946095937499</v>
      </c>
      <c r="C120" s="6">
        <v>45879.541631354165</v>
      </c>
      <c r="D120" t="s">
        <v>74</v>
      </c>
      <c r="E120" t="s">
        <v>25</v>
      </c>
      <c r="F120" t="s">
        <v>258</v>
      </c>
      <c r="G120" t="s">
        <v>22</v>
      </c>
      <c r="H120" s="2">
        <f>(Table13[[#This Row],[resolution_date]]-Table13[[#This Row],[submission_date]])*24</f>
        <v>158.29284999996889</v>
      </c>
      <c r="I120" s="7" t="str">
        <f>TEXT(Table13[[#This Row],[submission_date]],"dddd")</f>
        <v>Sunday</v>
      </c>
      <c r="J120" t="str">
        <f>TEXT(Table13[[#This Row],[submission_date]],"mmmm")</f>
        <v>August</v>
      </c>
      <c r="K120" t="str">
        <f>TEXT(Table13[[#This Row],[submission_date]],"hh")</f>
        <v>22</v>
      </c>
    </row>
    <row r="121" spans="1:11" x14ac:dyDescent="0.25">
      <c r="A121" t="s">
        <v>259</v>
      </c>
      <c r="B121" s="6">
        <v>45850.010814976849</v>
      </c>
      <c r="C121" s="6">
        <v>45850.795333125003</v>
      </c>
      <c r="D121" t="s">
        <v>14</v>
      </c>
      <c r="E121" t="s">
        <v>7</v>
      </c>
      <c r="F121" t="s">
        <v>260</v>
      </c>
      <c r="G121" t="s">
        <v>9</v>
      </c>
      <c r="H121" s="2">
        <f>(Table13[[#This Row],[resolution_date]]-Table13[[#This Row],[submission_date]])*24</f>
        <v>18.828435555682518</v>
      </c>
      <c r="I121" s="7" t="str">
        <f>TEXT(Table13[[#This Row],[submission_date]],"dddd")</f>
        <v>Saturday</v>
      </c>
      <c r="J121" t="str">
        <f>TEXT(Table13[[#This Row],[submission_date]],"mmmm")</f>
        <v>July</v>
      </c>
      <c r="K121" t="str">
        <f>TEXT(Table13[[#This Row],[submission_date]],"hh")</f>
        <v>00</v>
      </c>
    </row>
    <row r="122" spans="1:11" x14ac:dyDescent="0.25">
      <c r="A122" t="s">
        <v>261</v>
      </c>
      <c r="B122" s="6">
        <v>45857.543304513893</v>
      </c>
      <c r="C122" s="6">
        <v>45858.309298784719</v>
      </c>
      <c r="D122" t="s">
        <v>1</v>
      </c>
      <c r="E122" t="s">
        <v>18</v>
      </c>
      <c r="F122" t="s">
        <v>262</v>
      </c>
      <c r="G122" t="s">
        <v>9</v>
      </c>
      <c r="H122" s="2">
        <f>(Table13[[#This Row],[resolution_date]]-Table13[[#This Row],[submission_date]])*24</f>
        <v>18.383862499846146</v>
      </c>
      <c r="I122" s="7" t="str">
        <f>TEXT(Table13[[#This Row],[submission_date]],"dddd")</f>
        <v>Saturday</v>
      </c>
      <c r="J122" t="str">
        <f>TEXT(Table13[[#This Row],[submission_date]],"mmmm")</f>
        <v>July</v>
      </c>
      <c r="K122" t="str">
        <f>TEXT(Table13[[#This Row],[submission_date]],"hh")</f>
        <v>13</v>
      </c>
    </row>
    <row r="123" spans="1:11" x14ac:dyDescent="0.25">
      <c r="A123" t="s">
        <v>263</v>
      </c>
      <c r="B123" s="6">
        <v>45837.839233402781</v>
      </c>
      <c r="C123" s="6">
        <v>45838.438694236109</v>
      </c>
      <c r="D123" t="s">
        <v>24</v>
      </c>
      <c r="E123" t="s">
        <v>35</v>
      </c>
      <c r="F123" t="s">
        <v>264</v>
      </c>
      <c r="G123" t="s">
        <v>9</v>
      </c>
      <c r="H123" s="2">
        <f>(Table13[[#This Row],[resolution_date]]-Table13[[#This Row],[submission_date]])*24</f>
        <v>14.387059999862686</v>
      </c>
      <c r="I123" s="7" t="str">
        <f>TEXT(Table13[[#This Row],[submission_date]],"dddd")</f>
        <v>Sunday</v>
      </c>
      <c r="J123" t="str">
        <f>TEXT(Table13[[#This Row],[submission_date]],"mmmm")</f>
        <v>June</v>
      </c>
      <c r="K123" t="str">
        <f>TEXT(Table13[[#This Row],[submission_date]],"hh")</f>
        <v>20</v>
      </c>
    </row>
    <row r="124" spans="1:11" x14ac:dyDescent="0.25">
      <c r="A124" t="s">
        <v>265</v>
      </c>
      <c r="B124" s="6">
        <v>45867.618249085652</v>
      </c>
      <c r="C124" s="6">
        <v>45868.392216446759</v>
      </c>
      <c r="D124" t="s">
        <v>6</v>
      </c>
      <c r="E124" t="s">
        <v>2</v>
      </c>
      <c r="F124" t="s">
        <v>266</v>
      </c>
      <c r="G124" t="s">
        <v>9</v>
      </c>
      <c r="H124" s="2">
        <f>(Table13[[#This Row],[resolution_date]]-Table13[[#This Row],[submission_date]])*24</f>
        <v>18.575216666562483</v>
      </c>
      <c r="I124" s="7" t="str">
        <f>TEXT(Table13[[#This Row],[submission_date]],"dddd")</f>
        <v>Tuesday</v>
      </c>
      <c r="J124" t="str">
        <f>TEXT(Table13[[#This Row],[submission_date]],"mmmm")</f>
        <v>July</v>
      </c>
      <c r="K124" t="str">
        <f>TEXT(Table13[[#This Row],[submission_date]],"hh")</f>
        <v>14</v>
      </c>
    </row>
    <row r="125" spans="1:11" x14ac:dyDescent="0.25">
      <c r="A125" t="s">
        <v>267</v>
      </c>
      <c r="B125" s="6">
        <v>45888.049664409722</v>
      </c>
      <c r="C125" s="6">
        <v>45889.796211516201</v>
      </c>
      <c r="D125" t="s">
        <v>38</v>
      </c>
      <c r="E125" t="s">
        <v>7</v>
      </c>
      <c r="F125" t="s">
        <v>268</v>
      </c>
      <c r="G125" t="s">
        <v>9</v>
      </c>
      <c r="H125" s="2">
        <f>(Table13[[#This Row],[resolution_date]]-Table13[[#This Row],[submission_date]])*24</f>
        <v>41.917130555491894</v>
      </c>
      <c r="I125" s="7" t="str">
        <f>TEXT(Table13[[#This Row],[submission_date]],"dddd")</f>
        <v>Tuesday</v>
      </c>
      <c r="J125" t="str">
        <f>TEXT(Table13[[#This Row],[submission_date]],"mmmm")</f>
        <v>August</v>
      </c>
      <c r="K125" t="str">
        <f>TEXT(Table13[[#This Row],[submission_date]],"hh")</f>
        <v>01</v>
      </c>
    </row>
    <row r="126" spans="1:11" x14ac:dyDescent="0.25">
      <c r="A126" t="s">
        <v>269</v>
      </c>
      <c r="B126" s="6">
        <v>45833.252764166667</v>
      </c>
      <c r="C126" s="6">
        <v>45833.782323101848</v>
      </c>
      <c r="D126" t="s">
        <v>74</v>
      </c>
      <c r="E126" t="s">
        <v>48</v>
      </c>
      <c r="F126" t="s">
        <v>270</v>
      </c>
      <c r="G126" t="s">
        <v>9</v>
      </c>
      <c r="H126" s="2">
        <f>(Table13[[#This Row],[resolution_date]]-Table13[[#This Row],[submission_date]])*24</f>
        <v>12.709414444339927</v>
      </c>
      <c r="I126" s="7" t="str">
        <f>TEXT(Table13[[#This Row],[submission_date]],"dddd")</f>
        <v>Wednesday</v>
      </c>
      <c r="J126" t="str">
        <f>TEXT(Table13[[#This Row],[submission_date]],"mmmm")</f>
        <v>June</v>
      </c>
      <c r="K126" t="str">
        <f>TEXT(Table13[[#This Row],[submission_date]],"hh")</f>
        <v>06</v>
      </c>
    </row>
    <row r="127" spans="1:11" x14ac:dyDescent="0.25">
      <c r="A127" t="s">
        <v>271</v>
      </c>
      <c r="B127" s="6">
        <v>45871.769415833332</v>
      </c>
      <c r="C127" s="6">
        <v>45872.507896226853</v>
      </c>
      <c r="D127" t="s">
        <v>74</v>
      </c>
      <c r="E127" t="s">
        <v>15</v>
      </c>
      <c r="F127" t="s">
        <v>272</v>
      </c>
      <c r="G127" t="s">
        <v>9</v>
      </c>
      <c r="H127" s="2">
        <f>(Table13[[#This Row],[resolution_date]]-Table13[[#This Row],[submission_date]])*24</f>
        <v>17.723529444483574</v>
      </c>
      <c r="I127" s="7" t="str">
        <f>TEXT(Table13[[#This Row],[submission_date]],"dddd")</f>
        <v>Saturday</v>
      </c>
      <c r="J127" t="str">
        <f>TEXT(Table13[[#This Row],[submission_date]],"mmmm")</f>
        <v>August</v>
      </c>
      <c r="K127" t="str">
        <f>TEXT(Table13[[#This Row],[submission_date]],"hh")</f>
        <v>18</v>
      </c>
    </row>
    <row r="128" spans="1:11" x14ac:dyDescent="0.25">
      <c r="A128" t="s">
        <v>273</v>
      </c>
      <c r="B128" s="6">
        <v>45895.01577233796</v>
      </c>
      <c r="C128" s="6">
        <v>45898.961600011571</v>
      </c>
      <c r="D128" t="s">
        <v>14</v>
      </c>
      <c r="E128" t="s">
        <v>25</v>
      </c>
      <c r="F128" t="s">
        <v>274</v>
      </c>
      <c r="G128" t="s">
        <v>22</v>
      </c>
      <c r="H128" s="2">
        <f>(Table13[[#This Row],[resolution_date]]-Table13[[#This Row],[submission_date]])*24</f>
        <v>94.699864166672342</v>
      </c>
      <c r="I128" s="7" t="str">
        <f>TEXT(Table13[[#This Row],[submission_date]],"dddd")</f>
        <v>Tuesday</v>
      </c>
      <c r="J128" t="str">
        <f>TEXT(Table13[[#This Row],[submission_date]],"mmmm")</f>
        <v>August</v>
      </c>
      <c r="K128" t="str">
        <f>TEXT(Table13[[#This Row],[submission_date]],"hh")</f>
        <v>00</v>
      </c>
    </row>
    <row r="129" spans="1:11" x14ac:dyDescent="0.25">
      <c r="A129" t="s">
        <v>275</v>
      </c>
      <c r="B129" s="6">
        <v>45855.641187476853</v>
      </c>
      <c r="C129" s="6">
        <v>45860.058005162035</v>
      </c>
      <c r="D129" t="s">
        <v>6</v>
      </c>
      <c r="E129" t="s">
        <v>48</v>
      </c>
      <c r="F129" t="s">
        <v>276</v>
      </c>
      <c r="G129" t="s">
        <v>22</v>
      </c>
      <c r="H129" s="2">
        <f>(Table13[[#This Row],[resolution_date]]-Table13[[#This Row],[submission_date]])*24</f>
        <v>106.00362444436178</v>
      </c>
      <c r="I129" s="7" t="str">
        <f>TEXT(Table13[[#This Row],[submission_date]],"dddd")</f>
        <v>Thursday</v>
      </c>
      <c r="J129" t="str">
        <f>TEXT(Table13[[#This Row],[submission_date]],"mmmm")</f>
        <v>July</v>
      </c>
      <c r="K129" t="str">
        <f>TEXT(Table13[[#This Row],[submission_date]],"hh")</f>
        <v>15</v>
      </c>
    </row>
    <row r="130" spans="1:11" x14ac:dyDescent="0.25">
      <c r="A130" t="s">
        <v>277</v>
      </c>
      <c r="B130" s="6">
        <v>45909.709815717593</v>
      </c>
      <c r="C130" s="6">
        <v>45910.054590312502</v>
      </c>
      <c r="D130" t="s">
        <v>38</v>
      </c>
      <c r="E130" t="s">
        <v>11</v>
      </c>
      <c r="F130" t="s">
        <v>278</v>
      </c>
      <c r="G130" t="s">
        <v>4</v>
      </c>
      <c r="H130" s="2">
        <f>(Table13[[#This Row],[resolution_date]]-Table13[[#This Row],[submission_date]])*24</f>
        <v>8.2745902778115124</v>
      </c>
      <c r="I130" s="7" t="str">
        <f>TEXT(Table13[[#This Row],[submission_date]],"dddd")</f>
        <v>Tuesday</v>
      </c>
      <c r="J130" t="str">
        <f>TEXT(Table13[[#This Row],[submission_date]],"mmmm")</f>
        <v>September</v>
      </c>
      <c r="K130" t="str">
        <f>TEXT(Table13[[#This Row],[submission_date]],"hh")</f>
        <v>17</v>
      </c>
    </row>
    <row r="131" spans="1:11" x14ac:dyDescent="0.25">
      <c r="A131" t="s">
        <v>279</v>
      </c>
      <c r="B131" s="6">
        <v>45906.729388576387</v>
      </c>
      <c r="C131" s="6">
        <v>45908.672971944441</v>
      </c>
      <c r="D131" t="s">
        <v>1</v>
      </c>
      <c r="E131" t="s">
        <v>7</v>
      </c>
      <c r="F131" t="s">
        <v>280</v>
      </c>
      <c r="G131" t="s">
        <v>9</v>
      </c>
      <c r="H131" s="2">
        <f>(Table13[[#This Row],[resolution_date]]-Table13[[#This Row],[submission_date]])*24</f>
        <v>46.64600083330879</v>
      </c>
      <c r="I131" s="7" t="str">
        <f>TEXT(Table13[[#This Row],[submission_date]],"dddd")</f>
        <v>Saturday</v>
      </c>
      <c r="J131" t="str">
        <f>TEXT(Table13[[#This Row],[submission_date]],"mmmm")</f>
        <v>September</v>
      </c>
      <c r="K131" t="str">
        <f>TEXT(Table13[[#This Row],[submission_date]],"hh")</f>
        <v>17</v>
      </c>
    </row>
    <row r="132" spans="1:11" x14ac:dyDescent="0.25">
      <c r="A132" t="s">
        <v>281</v>
      </c>
      <c r="B132" s="6">
        <v>45910.871020706021</v>
      </c>
      <c r="C132" s="6">
        <v>45912.692476354168</v>
      </c>
      <c r="D132" t="s">
        <v>74</v>
      </c>
      <c r="E132" t="s">
        <v>28</v>
      </c>
      <c r="F132" t="s">
        <v>282</v>
      </c>
      <c r="G132" t="s">
        <v>22</v>
      </c>
      <c r="H132" s="2">
        <f>(Table13[[#This Row],[resolution_date]]-Table13[[#This Row],[submission_date]])*24</f>
        <v>43.714935555530246</v>
      </c>
      <c r="I132" s="7" t="str">
        <f>TEXT(Table13[[#This Row],[submission_date]],"dddd")</f>
        <v>Wednesday</v>
      </c>
      <c r="J132" t="str">
        <f>TEXT(Table13[[#This Row],[submission_date]],"mmmm")</f>
        <v>September</v>
      </c>
      <c r="K132" t="str">
        <f>TEXT(Table13[[#This Row],[submission_date]],"hh")</f>
        <v>20</v>
      </c>
    </row>
    <row r="133" spans="1:11" x14ac:dyDescent="0.25">
      <c r="A133" t="s">
        <v>283</v>
      </c>
      <c r="B133" s="6">
        <v>45879.520755300924</v>
      </c>
      <c r="C133" s="6">
        <v>45883.389230601853</v>
      </c>
      <c r="D133" t="s">
        <v>74</v>
      </c>
      <c r="E133" t="s">
        <v>11</v>
      </c>
      <c r="F133" t="s">
        <v>284</v>
      </c>
      <c r="G133" t="s">
        <v>22</v>
      </c>
      <c r="H133" s="2">
        <f>(Table13[[#This Row],[resolution_date]]-Table13[[#This Row],[submission_date]])*24</f>
        <v>92.843407222302631</v>
      </c>
      <c r="I133" s="7" t="str">
        <f>TEXT(Table13[[#This Row],[submission_date]],"dddd")</f>
        <v>Sunday</v>
      </c>
      <c r="J133" t="str">
        <f>TEXT(Table13[[#This Row],[submission_date]],"mmmm")</f>
        <v>August</v>
      </c>
      <c r="K133" t="str">
        <f>TEXT(Table13[[#This Row],[submission_date]],"hh")</f>
        <v>12</v>
      </c>
    </row>
    <row r="134" spans="1:11" x14ac:dyDescent="0.25">
      <c r="A134" t="s">
        <v>285</v>
      </c>
      <c r="B134" s="6">
        <v>45907.109921354167</v>
      </c>
      <c r="C134" s="6">
        <v>45910.587372002316</v>
      </c>
      <c r="D134" t="s">
        <v>1</v>
      </c>
      <c r="E134" t="s">
        <v>35</v>
      </c>
      <c r="F134" t="s">
        <v>286</v>
      </c>
      <c r="G134" t="s">
        <v>22</v>
      </c>
      <c r="H134" s="2">
        <f>(Table13[[#This Row],[resolution_date]]-Table13[[#This Row],[submission_date]])*24</f>
        <v>83.458815555553883</v>
      </c>
      <c r="I134" s="7" t="str">
        <f>TEXT(Table13[[#This Row],[submission_date]],"dddd")</f>
        <v>Sunday</v>
      </c>
      <c r="J134" t="str">
        <f>TEXT(Table13[[#This Row],[submission_date]],"mmmm")</f>
        <v>September</v>
      </c>
      <c r="K134" t="str">
        <f>TEXT(Table13[[#This Row],[submission_date]],"hh")</f>
        <v>02</v>
      </c>
    </row>
    <row r="135" spans="1:11" x14ac:dyDescent="0.25">
      <c r="A135" t="s">
        <v>287</v>
      </c>
      <c r="B135" s="6">
        <v>45859.296687372684</v>
      </c>
      <c r="C135" s="6">
        <v>45859.711959270833</v>
      </c>
      <c r="D135" t="s">
        <v>24</v>
      </c>
      <c r="E135" t="s">
        <v>15</v>
      </c>
      <c r="F135" t="s">
        <v>288</v>
      </c>
      <c r="G135" t="s">
        <v>4</v>
      </c>
      <c r="H135" s="2">
        <f>(Table13[[#This Row],[resolution_date]]-Table13[[#This Row],[submission_date]])*24</f>
        <v>9.966525555588305</v>
      </c>
      <c r="I135" s="7" t="str">
        <f>TEXT(Table13[[#This Row],[submission_date]],"dddd")</f>
        <v>Monday</v>
      </c>
      <c r="J135" t="str">
        <f>TEXT(Table13[[#This Row],[submission_date]],"mmmm")</f>
        <v>July</v>
      </c>
      <c r="K135" t="str">
        <f>TEXT(Table13[[#This Row],[submission_date]],"hh")</f>
        <v>07</v>
      </c>
    </row>
    <row r="136" spans="1:11" x14ac:dyDescent="0.25">
      <c r="A136" t="s">
        <v>289</v>
      </c>
      <c r="B136" s="6">
        <v>45884.043633368055</v>
      </c>
      <c r="C136" s="6">
        <v>45891.026826423615</v>
      </c>
      <c r="D136" t="s">
        <v>1</v>
      </c>
      <c r="E136" t="s">
        <v>25</v>
      </c>
      <c r="F136" t="s">
        <v>290</v>
      </c>
      <c r="G136" t="s">
        <v>22</v>
      </c>
      <c r="H136" s="2">
        <f>(Table13[[#This Row],[resolution_date]]-Table13[[#This Row],[submission_date]])*24</f>
        <v>167.59663333342178</v>
      </c>
      <c r="I136" s="7" t="str">
        <f>TEXT(Table13[[#This Row],[submission_date]],"dddd")</f>
        <v>Friday</v>
      </c>
      <c r="J136" t="str">
        <f>TEXT(Table13[[#This Row],[submission_date]],"mmmm")</f>
        <v>August</v>
      </c>
      <c r="K136" t="str">
        <f>TEXT(Table13[[#This Row],[submission_date]],"hh")</f>
        <v>01</v>
      </c>
    </row>
    <row r="137" spans="1:11" x14ac:dyDescent="0.25">
      <c r="A137" t="s">
        <v>291</v>
      </c>
      <c r="B137" s="6">
        <v>45832.24807454861</v>
      </c>
      <c r="C137" s="6">
        <v>45837.032086712963</v>
      </c>
      <c r="D137" t="s">
        <v>53</v>
      </c>
      <c r="E137" t="s">
        <v>28</v>
      </c>
      <c r="F137" t="s">
        <v>292</v>
      </c>
      <c r="G137" t="s">
        <v>22</v>
      </c>
      <c r="H137" s="2">
        <f>(Table13[[#This Row],[resolution_date]]-Table13[[#This Row],[submission_date]])*24</f>
        <v>114.81629194447305</v>
      </c>
      <c r="I137" s="7" t="str">
        <f>TEXT(Table13[[#This Row],[submission_date]],"dddd")</f>
        <v>Tuesday</v>
      </c>
      <c r="J137" t="str">
        <f>TEXT(Table13[[#This Row],[submission_date]],"mmmm")</f>
        <v>June</v>
      </c>
      <c r="K137" t="str">
        <f>TEXT(Table13[[#This Row],[submission_date]],"hh")</f>
        <v>05</v>
      </c>
    </row>
    <row r="138" spans="1:11" x14ac:dyDescent="0.25">
      <c r="A138" t="s">
        <v>293</v>
      </c>
      <c r="B138" s="6">
        <v>45914.743208043983</v>
      </c>
      <c r="C138" s="6">
        <v>45917.991188726854</v>
      </c>
      <c r="D138" t="s">
        <v>14</v>
      </c>
      <c r="E138" t="s">
        <v>28</v>
      </c>
      <c r="F138" t="s">
        <v>294</v>
      </c>
      <c r="G138" t="s">
        <v>22</v>
      </c>
      <c r="H138" s="2">
        <f>(Table13[[#This Row],[resolution_date]]-Table13[[#This Row],[submission_date]])*24</f>
        <v>77.951536388893146</v>
      </c>
      <c r="I138" s="7" t="str">
        <f>TEXT(Table13[[#This Row],[submission_date]],"dddd")</f>
        <v>Sunday</v>
      </c>
      <c r="J138" t="str">
        <f>TEXT(Table13[[#This Row],[submission_date]],"mmmm")</f>
        <v>September</v>
      </c>
      <c r="K138" t="str">
        <f>TEXT(Table13[[#This Row],[submission_date]],"hh")</f>
        <v>17</v>
      </c>
    </row>
    <row r="139" spans="1:11" x14ac:dyDescent="0.25">
      <c r="A139" t="s">
        <v>295</v>
      </c>
      <c r="B139" s="6">
        <v>45837.385131631941</v>
      </c>
      <c r="C139" s="6">
        <v>45838.970033020836</v>
      </c>
      <c r="D139" t="s">
        <v>14</v>
      </c>
      <c r="E139" t="s">
        <v>7</v>
      </c>
      <c r="F139" t="s">
        <v>296</v>
      </c>
      <c r="G139" t="s">
        <v>22</v>
      </c>
      <c r="H139" s="2">
        <f>(Table13[[#This Row],[resolution_date]]-Table13[[#This Row],[submission_date]])*24</f>
        <v>38.037633333471604</v>
      </c>
      <c r="I139" s="7" t="str">
        <f>TEXT(Table13[[#This Row],[submission_date]],"dddd")</f>
        <v>Sunday</v>
      </c>
      <c r="J139" t="str">
        <f>TEXT(Table13[[#This Row],[submission_date]],"mmmm")</f>
        <v>June</v>
      </c>
      <c r="K139" t="str">
        <f>TEXT(Table13[[#This Row],[submission_date]],"hh")</f>
        <v>09</v>
      </c>
    </row>
    <row r="140" spans="1:11" x14ac:dyDescent="0.25">
      <c r="A140" t="s">
        <v>297</v>
      </c>
      <c r="B140" s="6">
        <v>45888.557472025466</v>
      </c>
      <c r="C140" s="6">
        <v>45889.528593067131</v>
      </c>
      <c r="D140" t="s">
        <v>6</v>
      </c>
      <c r="E140" t="s">
        <v>2</v>
      </c>
      <c r="F140" t="s">
        <v>298</v>
      </c>
      <c r="G140" t="s">
        <v>9</v>
      </c>
      <c r="H140" s="2">
        <f>(Table13[[#This Row],[resolution_date]]-Table13[[#This Row],[submission_date]])*24</f>
        <v>23.30690499994671</v>
      </c>
      <c r="I140" s="7" t="str">
        <f>TEXT(Table13[[#This Row],[submission_date]],"dddd")</f>
        <v>Tuesday</v>
      </c>
      <c r="J140" t="str">
        <f>TEXT(Table13[[#This Row],[submission_date]],"mmmm")</f>
        <v>August</v>
      </c>
      <c r="K140" t="str">
        <f>TEXT(Table13[[#This Row],[submission_date]],"hh")</f>
        <v>13</v>
      </c>
    </row>
    <row r="141" spans="1:11" x14ac:dyDescent="0.25">
      <c r="A141" t="s">
        <v>299</v>
      </c>
      <c r="B141" s="6">
        <v>45890.610338888888</v>
      </c>
      <c r="C141" s="6">
        <v>45896.433827546294</v>
      </c>
      <c r="D141" t="s">
        <v>38</v>
      </c>
      <c r="E141" t="s">
        <v>28</v>
      </c>
      <c r="F141" t="s">
        <v>300</v>
      </c>
      <c r="G141" t="s">
        <v>22</v>
      </c>
      <c r="H141" s="2">
        <f>(Table13[[#This Row],[resolution_date]]-Table13[[#This Row],[submission_date]])*24</f>
        <v>139.76372777775396</v>
      </c>
      <c r="I141" s="7" t="str">
        <f>TEXT(Table13[[#This Row],[submission_date]],"dddd")</f>
        <v>Thursday</v>
      </c>
      <c r="J141" t="str">
        <f>TEXT(Table13[[#This Row],[submission_date]],"mmmm")</f>
        <v>August</v>
      </c>
      <c r="K141" t="str">
        <f>TEXT(Table13[[#This Row],[submission_date]],"hh")</f>
        <v>14</v>
      </c>
    </row>
    <row r="142" spans="1:11" x14ac:dyDescent="0.25">
      <c r="A142" t="s">
        <v>301</v>
      </c>
      <c r="B142" s="6">
        <v>45874.456965682868</v>
      </c>
      <c r="C142" s="6">
        <v>45875.076861180554</v>
      </c>
      <c r="D142" t="s">
        <v>14</v>
      </c>
      <c r="E142" t="s">
        <v>39</v>
      </c>
      <c r="F142" t="s">
        <v>302</v>
      </c>
      <c r="G142" t="s">
        <v>9</v>
      </c>
      <c r="H142" s="2">
        <f>(Table13[[#This Row],[resolution_date]]-Table13[[#This Row],[submission_date]])*24</f>
        <v>14.877491944469512</v>
      </c>
      <c r="I142" s="7" t="str">
        <f>TEXT(Table13[[#This Row],[submission_date]],"dddd")</f>
        <v>Tuesday</v>
      </c>
      <c r="J142" t="str">
        <f>TEXT(Table13[[#This Row],[submission_date]],"mmmm")</f>
        <v>August</v>
      </c>
      <c r="K142" t="str">
        <f>TEXT(Table13[[#This Row],[submission_date]],"hh")</f>
        <v>10</v>
      </c>
    </row>
    <row r="143" spans="1:11" x14ac:dyDescent="0.25">
      <c r="A143" t="s">
        <v>303</v>
      </c>
      <c r="B143" s="6">
        <v>45887.431979837966</v>
      </c>
      <c r="C143" s="6">
        <v>45887.968167638886</v>
      </c>
      <c r="D143" t="s">
        <v>14</v>
      </c>
      <c r="E143" t="s">
        <v>2</v>
      </c>
      <c r="F143" t="s">
        <v>304</v>
      </c>
      <c r="G143" t="s">
        <v>9</v>
      </c>
      <c r="H143" s="2">
        <f>(Table13[[#This Row],[resolution_date]]-Table13[[#This Row],[submission_date]])*24</f>
        <v>12.868507222097833</v>
      </c>
      <c r="I143" s="7" t="str">
        <f>TEXT(Table13[[#This Row],[submission_date]],"dddd")</f>
        <v>Monday</v>
      </c>
      <c r="J143" t="str">
        <f>TEXT(Table13[[#This Row],[submission_date]],"mmmm")</f>
        <v>August</v>
      </c>
      <c r="K143" t="str">
        <f>TEXT(Table13[[#This Row],[submission_date]],"hh")</f>
        <v>10</v>
      </c>
    </row>
    <row r="144" spans="1:11" x14ac:dyDescent="0.25">
      <c r="A144" t="s">
        <v>305</v>
      </c>
      <c r="B144" s="6">
        <v>45913.681012118053</v>
      </c>
      <c r="C144" s="6">
        <v>45914.899067337959</v>
      </c>
      <c r="D144" t="s">
        <v>38</v>
      </c>
      <c r="E144" t="s">
        <v>18</v>
      </c>
      <c r="F144" t="s">
        <v>306</v>
      </c>
      <c r="G144" t="s">
        <v>9</v>
      </c>
      <c r="H144" s="2">
        <f>(Table13[[#This Row],[resolution_date]]-Table13[[#This Row],[submission_date]])*24</f>
        <v>29.233325277746189</v>
      </c>
      <c r="I144" s="7" t="str">
        <f>TEXT(Table13[[#This Row],[submission_date]],"dddd")</f>
        <v>Saturday</v>
      </c>
      <c r="J144" t="str">
        <f>TEXT(Table13[[#This Row],[submission_date]],"mmmm")</f>
        <v>September</v>
      </c>
      <c r="K144" t="str">
        <f>TEXT(Table13[[#This Row],[submission_date]],"hh")</f>
        <v>16</v>
      </c>
    </row>
    <row r="145" spans="1:11" x14ac:dyDescent="0.25">
      <c r="A145" t="s">
        <v>307</v>
      </c>
      <c r="B145" s="6">
        <v>45872.284382627317</v>
      </c>
      <c r="C145" s="6">
        <v>45875.951124525462</v>
      </c>
      <c r="D145" t="s">
        <v>14</v>
      </c>
      <c r="E145" t="s">
        <v>15</v>
      </c>
      <c r="F145" t="s">
        <v>308</v>
      </c>
      <c r="G145" t="s">
        <v>22</v>
      </c>
      <c r="H145" s="2">
        <f>(Table13[[#This Row],[resolution_date]]-Table13[[#This Row],[submission_date]])*24</f>
        <v>88.001805555482861</v>
      </c>
      <c r="I145" s="7" t="str">
        <f>TEXT(Table13[[#This Row],[submission_date]],"dddd")</f>
        <v>Sunday</v>
      </c>
      <c r="J145" t="str">
        <f>TEXT(Table13[[#This Row],[submission_date]],"mmmm")</f>
        <v>August</v>
      </c>
      <c r="K145" t="str">
        <f>TEXT(Table13[[#This Row],[submission_date]],"hh")</f>
        <v>06</v>
      </c>
    </row>
    <row r="146" spans="1:11" x14ac:dyDescent="0.25">
      <c r="A146" t="s">
        <v>309</v>
      </c>
      <c r="B146" s="6">
        <v>45835.128006678242</v>
      </c>
      <c r="C146" s="6">
        <v>45835.63756747685</v>
      </c>
      <c r="D146" t="s">
        <v>6</v>
      </c>
      <c r="E146" t="s">
        <v>39</v>
      </c>
      <c r="F146" t="s">
        <v>310</v>
      </c>
      <c r="G146" t="s">
        <v>9</v>
      </c>
      <c r="H146" s="2">
        <f>(Table13[[#This Row],[resolution_date]]-Table13[[#This Row],[submission_date]])*24</f>
        <v>12.229459166585002</v>
      </c>
      <c r="I146" s="7" t="str">
        <f>TEXT(Table13[[#This Row],[submission_date]],"dddd")</f>
        <v>Friday</v>
      </c>
      <c r="J146" t="str">
        <f>TEXT(Table13[[#This Row],[submission_date]],"mmmm")</f>
        <v>June</v>
      </c>
      <c r="K146" t="str">
        <f>TEXT(Table13[[#This Row],[submission_date]],"hh")</f>
        <v>03</v>
      </c>
    </row>
    <row r="147" spans="1:11" x14ac:dyDescent="0.25">
      <c r="A147" t="s">
        <v>311</v>
      </c>
      <c r="B147" s="6">
        <v>45900.65947421296</v>
      </c>
      <c r="C147" s="6">
        <v>45900.743211898145</v>
      </c>
      <c r="D147" t="s">
        <v>74</v>
      </c>
      <c r="E147" t="s">
        <v>15</v>
      </c>
      <c r="F147" t="s">
        <v>312</v>
      </c>
      <c r="G147" t="s">
        <v>108</v>
      </c>
      <c r="H147" s="2">
        <f>(Table13[[#This Row],[resolution_date]]-Table13[[#This Row],[submission_date]])*24</f>
        <v>2.009704444441013</v>
      </c>
      <c r="I147" s="7" t="str">
        <f>TEXT(Table13[[#This Row],[submission_date]],"dddd")</f>
        <v>Sunday</v>
      </c>
      <c r="J147" t="str">
        <f>TEXT(Table13[[#This Row],[submission_date]],"mmmm")</f>
        <v>August</v>
      </c>
      <c r="K147" t="str">
        <f>TEXT(Table13[[#This Row],[submission_date]],"hh")</f>
        <v>15</v>
      </c>
    </row>
    <row r="148" spans="1:11" x14ac:dyDescent="0.25">
      <c r="A148" t="s">
        <v>313</v>
      </c>
      <c r="B148" s="6">
        <v>45832.460665983795</v>
      </c>
      <c r="C148" s="6">
        <v>45832.787722476853</v>
      </c>
      <c r="D148" t="s">
        <v>38</v>
      </c>
      <c r="E148" t="s">
        <v>28</v>
      </c>
      <c r="F148" t="s">
        <v>314</v>
      </c>
      <c r="G148" t="s">
        <v>4</v>
      </c>
      <c r="H148" s="2">
        <f>(Table13[[#This Row],[resolution_date]]-Table13[[#This Row],[submission_date]])*24</f>
        <v>7.8493558333721012</v>
      </c>
      <c r="I148" s="7" t="str">
        <f>TEXT(Table13[[#This Row],[submission_date]],"dddd")</f>
        <v>Tuesday</v>
      </c>
      <c r="J148" t="str">
        <f>TEXT(Table13[[#This Row],[submission_date]],"mmmm")</f>
        <v>June</v>
      </c>
      <c r="K148" t="str">
        <f>TEXT(Table13[[#This Row],[submission_date]],"hh")</f>
        <v>11</v>
      </c>
    </row>
    <row r="149" spans="1:11" x14ac:dyDescent="0.25">
      <c r="A149" t="s">
        <v>315</v>
      </c>
      <c r="B149" s="6">
        <v>45902.70604621528</v>
      </c>
      <c r="C149" s="6">
        <v>45906.209134826386</v>
      </c>
      <c r="D149" t="s">
        <v>53</v>
      </c>
      <c r="E149" t="s">
        <v>15</v>
      </c>
      <c r="F149" t="s">
        <v>316</v>
      </c>
      <c r="G149" t="s">
        <v>22</v>
      </c>
      <c r="H149" s="2">
        <f>(Table13[[#This Row],[resolution_date]]-Table13[[#This Row],[submission_date]])*24</f>
        <v>84.074126666528173</v>
      </c>
      <c r="I149" s="7" t="str">
        <f>TEXT(Table13[[#This Row],[submission_date]],"dddd")</f>
        <v>Tuesday</v>
      </c>
      <c r="J149" t="str">
        <f>TEXT(Table13[[#This Row],[submission_date]],"mmmm")</f>
        <v>September</v>
      </c>
      <c r="K149" t="str">
        <f>TEXT(Table13[[#This Row],[submission_date]],"hh")</f>
        <v>16</v>
      </c>
    </row>
    <row r="150" spans="1:11" x14ac:dyDescent="0.25">
      <c r="A150" t="s">
        <v>317</v>
      </c>
      <c r="B150" s="6">
        <v>45854.598774027778</v>
      </c>
      <c r="C150" s="6">
        <v>45855.701526377314</v>
      </c>
      <c r="D150" t="s">
        <v>1</v>
      </c>
      <c r="E150" t="s">
        <v>35</v>
      </c>
      <c r="F150" t="s">
        <v>318</v>
      </c>
      <c r="G150" t="s">
        <v>9</v>
      </c>
      <c r="H150" s="2">
        <f>(Table13[[#This Row],[resolution_date]]-Table13[[#This Row],[submission_date]])*24</f>
        <v>26.466056388861034</v>
      </c>
      <c r="I150" s="7" t="str">
        <f>TEXT(Table13[[#This Row],[submission_date]],"dddd")</f>
        <v>Wednesday</v>
      </c>
      <c r="J150" t="str">
        <f>TEXT(Table13[[#This Row],[submission_date]],"mmmm")</f>
        <v>July</v>
      </c>
      <c r="K150" t="str">
        <f>TEXT(Table13[[#This Row],[submission_date]],"hh")</f>
        <v>14</v>
      </c>
    </row>
    <row r="151" spans="1:11" x14ac:dyDescent="0.25">
      <c r="A151" t="s">
        <v>319</v>
      </c>
      <c r="B151" s="6">
        <v>45869.175449467592</v>
      </c>
      <c r="C151" s="6">
        <v>45870.175988194445</v>
      </c>
      <c r="D151" t="s">
        <v>14</v>
      </c>
      <c r="E151" t="s">
        <v>2</v>
      </c>
      <c r="F151" t="s">
        <v>320</v>
      </c>
      <c r="G151" t="s">
        <v>9</v>
      </c>
      <c r="H151" s="2">
        <f>(Table13[[#This Row],[resolution_date]]-Table13[[#This Row],[submission_date]])*24</f>
        <v>24.012929444492329</v>
      </c>
      <c r="I151" s="7" t="str">
        <f>TEXT(Table13[[#This Row],[submission_date]],"dddd")</f>
        <v>Thursday</v>
      </c>
      <c r="J151" t="str">
        <f>TEXT(Table13[[#This Row],[submission_date]],"mmmm")</f>
        <v>July</v>
      </c>
      <c r="K151" t="str">
        <f>TEXT(Table13[[#This Row],[submission_date]],"hh")</f>
        <v>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9B5F-0A23-4886-A738-1B532FC06A82}">
  <dimension ref="A3:B8"/>
  <sheetViews>
    <sheetView workbookViewId="0">
      <selection activeCell="K6" sqref="K6"/>
    </sheetView>
  </sheetViews>
  <sheetFormatPr defaultRowHeight="15" x14ac:dyDescent="0.25"/>
  <cols>
    <col min="1" max="1" width="12.42578125" customWidth="1"/>
    <col min="2" max="2" width="15.5703125" customWidth="1"/>
  </cols>
  <sheetData>
    <row r="3" spans="1:2" x14ac:dyDescent="0.25">
      <c r="A3" s="3" t="s">
        <v>324</v>
      </c>
      <c r="B3" t="s">
        <v>333</v>
      </c>
    </row>
    <row r="4" spans="1:2" x14ac:dyDescent="0.25">
      <c r="A4" s="4" t="s">
        <v>336</v>
      </c>
      <c r="B4">
        <v>45</v>
      </c>
    </row>
    <row r="5" spans="1:2" x14ac:dyDescent="0.25">
      <c r="A5" s="4" t="s">
        <v>335</v>
      </c>
      <c r="B5">
        <v>51</v>
      </c>
    </row>
    <row r="6" spans="1:2" x14ac:dyDescent="0.25">
      <c r="A6" s="4" t="s">
        <v>334</v>
      </c>
      <c r="B6">
        <v>27</v>
      </c>
    </row>
    <row r="7" spans="1:2" x14ac:dyDescent="0.25">
      <c r="A7" s="4" t="s">
        <v>337</v>
      </c>
      <c r="B7">
        <v>27</v>
      </c>
    </row>
    <row r="8" spans="1:2" x14ac:dyDescent="0.25">
      <c r="A8" s="4" t="s">
        <v>332</v>
      </c>
      <c r="B8">
        <v>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FD12-A58A-402C-A5A9-91468F663F81}">
  <dimension ref="A3:B28"/>
  <sheetViews>
    <sheetView topLeftCell="A4" workbookViewId="0">
      <selection activeCell="B16" sqref="B16"/>
    </sheetView>
  </sheetViews>
  <sheetFormatPr defaultRowHeight="15" x14ac:dyDescent="0.25"/>
  <cols>
    <col min="1" max="1" width="12.42578125" customWidth="1"/>
    <col min="2" max="2" width="15.5703125" customWidth="1"/>
    <col min="3" max="3" width="1.85546875" customWidth="1"/>
    <col min="4" max="11" width="1.85546875" bestFit="1" customWidth="1"/>
    <col min="12" max="25" width="2.85546875" bestFit="1" customWidth="1"/>
    <col min="26" max="26" width="10.42578125" bestFit="1" customWidth="1"/>
  </cols>
  <sheetData>
    <row r="3" spans="1:2" x14ac:dyDescent="0.25">
      <c r="A3" s="3" t="s">
        <v>324</v>
      </c>
      <c r="B3" t="s">
        <v>333</v>
      </c>
    </row>
    <row r="4" spans="1:2" x14ac:dyDescent="0.25">
      <c r="A4" s="4">
        <v>0</v>
      </c>
      <c r="B4">
        <v>9</v>
      </c>
    </row>
    <row r="5" spans="1:2" x14ac:dyDescent="0.25">
      <c r="A5" s="4">
        <v>1</v>
      </c>
      <c r="B5">
        <v>6</v>
      </c>
    </row>
    <row r="6" spans="1:2" x14ac:dyDescent="0.25">
      <c r="A6" s="4">
        <v>2</v>
      </c>
      <c r="B6">
        <v>4</v>
      </c>
    </row>
    <row r="7" spans="1:2" x14ac:dyDescent="0.25">
      <c r="A7" s="4">
        <v>3</v>
      </c>
      <c r="B7">
        <v>6</v>
      </c>
    </row>
    <row r="8" spans="1:2" x14ac:dyDescent="0.25">
      <c r="A8" s="4">
        <v>4</v>
      </c>
      <c r="B8">
        <v>3</v>
      </c>
    </row>
    <row r="9" spans="1:2" x14ac:dyDescent="0.25">
      <c r="A9" s="4">
        <v>5</v>
      </c>
      <c r="B9">
        <v>6</v>
      </c>
    </row>
    <row r="10" spans="1:2" x14ac:dyDescent="0.25">
      <c r="A10" s="4">
        <v>6</v>
      </c>
      <c r="B10">
        <v>9</v>
      </c>
    </row>
    <row r="11" spans="1:2" x14ac:dyDescent="0.25">
      <c r="A11" s="4">
        <v>7</v>
      </c>
      <c r="B11">
        <v>6</v>
      </c>
    </row>
    <row r="12" spans="1:2" x14ac:dyDescent="0.25">
      <c r="A12" s="4">
        <v>8</v>
      </c>
      <c r="B12">
        <v>5</v>
      </c>
    </row>
    <row r="13" spans="1:2" x14ac:dyDescent="0.25">
      <c r="A13" s="4">
        <v>9</v>
      </c>
      <c r="B13">
        <v>6</v>
      </c>
    </row>
    <row r="14" spans="1:2" x14ac:dyDescent="0.25">
      <c r="A14" s="4">
        <v>10</v>
      </c>
      <c r="B14">
        <v>6</v>
      </c>
    </row>
    <row r="15" spans="1:2" x14ac:dyDescent="0.25">
      <c r="A15" s="4">
        <v>11</v>
      </c>
      <c r="B15">
        <v>7</v>
      </c>
    </row>
    <row r="16" spans="1:2" x14ac:dyDescent="0.25">
      <c r="A16" s="4">
        <v>12</v>
      </c>
      <c r="B16">
        <v>7</v>
      </c>
    </row>
    <row r="17" spans="1:2" x14ac:dyDescent="0.25">
      <c r="A17" s="4">
        <v>13</v>
      </c>
      <c r="B17">
        <v>7</v>
      </c>
    </row>
    <row r="18" spans="1:2" x14ac:dyDescent="0.25">
      <c r="A18" s="4">
        <v>14</v>
      </c>
      <c r="B18">
        <v>5</v>
      </c>
    </row>
    <row r="19" spans="1:2" x14ac:dyDescent="0.25">
      <c r="A19" s="4">
        <v>15</v>
      </c>
      <c r="B19">
        <v>6</v>
      </c>
    </row>
    <row r="20" spans="1:2" x14ac:dyDescent="0.25">
      <c r="A20" s="4">
        <v>16</v>
      </c>
      <c r="B20">
        <v>7</v>
      </c>
    </row>
    <row r="21" spans="1:2" x14ac:dyDescent="0.25">
      <c r="A21" s="4">
        <v>17</v>
      </c>
      <c r="B21">
        <v>9</v>
      </c>
    </row>
    <row r="22" spans="1:2" x14ac:dyDescent="0.25">
      <c r="A22" s="4">
        <v>18</v>
      </c>
      <c r="B22">
        <v>4</v>
      </c>
    </row>
    <row r="23" spans="1:2" x14ac:dyDescent="0.25">
      <c r="A23" s="4">
        <v>19</v>
      </c>
      <c r="B23">
        <v>7</v>
      </c>
    </row>
    <row r="24" spans="1:2" x14ac:dyDescent="0.25">
      <c r="A24" s="4">
        <v>20</v>
      </c>
      <c r="B24">
        <v>8</v>
      </c>
    </row>
    <row r="25" spans="1:2" x14ac:dyDescent="0.25">
      <c r="A25" s="4">
        <v>21</v>
      </c>
      <c r="B25">
        <v>6</v>
      </c>
    </row>
    <row r="26" spans="1:2" x14ac:dyDescent="0.25">
      <c r="A26" s="4">
        <v>22</v>
      </c>
      <c r="B26">
        <v>7</v>
      </c>
    </row>
    <row r="27" spans="1:2" x14ac:dyDescent="0.25">
      <c r="A27" s="4">
        <v>23</v>
      </c>
      <c r="B27">
        <v>4</v>
      </c>
    </row>
    <row r="28" spans="1:2" x14ac:dyDescent="0.25">
      <c r="A28" s="4" t="s">
        <v>332</v>
      </c>
      <c r="B28">
        <v>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176B-878B-4C02-B404-481EC79B57C7}">
  <dimension ref="A3:B11"/>
  <sheetViews>
    <sheetView tabSelected="1" workbookViewId="0">
      <selection activeCell="A3" sqref="A3"/>
    </sheetView>
  </sheetViews>
  <sheetFormatPr defaultRowHeight="15" x14ac:dyDescent="0.25"/>
  <cols>
    <col min="1" max="1" width="12.42578125" customWidth="1"/>
    <col min="2" max="2" width="15.5703125" customWidth="1"/>
  </cols>
  <sheetData>
    <row r="3" spans="1:2" x14ac:dyDescent="0.25">
      <c r="A3" s="3" t="s">
        <v>324</v>
      </c>
      <c r="B3" t="s">
        <v>333</v>
      </c>
    </row>
    <row r="4" spans="1:2" x14ac:dyDescent="0.25">
      <c r="A4" s="4" t="s">
        <v>325</v>
      </c>
      <c r="B4">
        <v>26</v>
      </c>
    </row>
    <row r="5" spans="1:2" x14ac:dyDescent="0.25">
      <c r="A5" s="4" t="s">
        <v>326</v>
      </c>
      <c r="B5">
        <v>19</v>
      </c>
    </row>
    <row r="6" spans="1:2" x14ac:dyDescent="0.25">
      <c r="A6" s="4" t="s">
        <v>327</v>
      </c>
      <c r="B6">
        <v>22</v>
      </c>
    </row>
    <row r="7" spans="1:2" x14ac:dyDescent="0.25">
      <c r="A7" s="4" t="s">
        <v>328</v>
      </c>
      <c r="B7">
        <v>24</v>
      </c>
    </row>
    <row r="8" spans="1:2" x14ac:dyDescent="0.25">
      <c r="A8" s="4" t="s">
        <v>329</v>
      </c>
      <c r="B8">
        <v>23</v>
      </c>
    </row>
    <row r="9" spans="1:2" x14ac:dyDescent="0.25">
      <c r="A9" s="4" t="s">
        <v>330</v>
      </c>
      <c r="B9">
        <v>16</v>
      </c>
    </row>
    <row r="10" spans="1:2" x14ac:dyDescent="0.25">
      <c r="A10" s="4" t="s">
        <v>331</v>
      </c>
      <c r="B10">
        <v>20</v>
      </c>
    </row>
    <row r="11" spans="1:2" x14ac:dyDescent="0.25">
      <c r="A11" s="4" t="s">
        <v>332</v>
      </c>
      <c r="B11">
        <v>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4418-F9A8-43B3-AD62-13804AAFE59F}">
  <dimension ref="A3:B31"/>
  <sheetViews>
    <sheetView workbookViewId="0">
      <selection activeCell="A3" sqref="A3"/>
    </sheetView>
  </sheetViews>
  <sheetFormatPr defaultRowHeight="15" x14ac:dyDescent="0.25"/>
  <cols>
    <col min="1" max="1" width="12.42578125" customWidth="1"/>
    <col min="2" max="2" width="22.42578125" customWidth="1"/>
    <col min="3" max="3" width="7.85546875" customWidth="1"/>
    <col min="4" max="4" width="8.85546875" bestFit="1" customWidth="1"/>
    <col min="5" max="7" width="7.85546875" bestFit="1" customWidth="1"/>
    <col min="8" max="8" width="8.140625" bestFit="1" customWidth="1"/>
    <col min="9" max="9" width="10.42578125" bestFit="1" customWidth="1"/>
  </cols>
  <sheetData>
    <row r="3" spans="1:2" x14ac:dyDescent="0.25">
      <c r="A3" s="3" t="s">
        <v>324</v>
      </c>
      <c r="B3" t="s">
        <v>338</v>
      </c>
    </row>
    <row r="4" spans="1:2" x14ac:dyDescent="0.25">
      <c r="A4" s="4" t="s">
        <v>108</v>
      </c>
      <c r="B4" s="2">
        <v>2.207986111111111</v>
      </c>
    </row>
    <row r="5" spans="1:2" x14ac:dyDescent="0.25">
      <c r="A5" s="5" t="s">
        <v>74</v>
      </c>
      <c r="B5" s="2">
        <v>2.0097222222222224</v>
      </c>
    </row>
    <row r="6" spans="1:2" x14ac:dyDescent="0.25">
      <c r="A6" s="5" t="s">
        <v>14</v>
      </c>
      <c r="B6" s="2">
        <v>3.2174999999999998</v>
      </c>
    </row>
    <row r="7" spans="1:2" x14ac:dyDescent="0.25">
      <c r="A7" s="5" t="s">
        <v>6</v>
      </c>
      <c r="B7" s="2">
        <v>1.8023611111111111</v>
      </c>
    </row>
    <row r="8" spans="1:2" x14ac:dyDescent="0.25">
      <c r="A8" s="4" t="s">
        <v>4</v>
      </c>
      <c r="B8" s="2">
        <v>6.6783333333333337</v>
      </c>
    </row>
    <row r="9" spans="1:2" x14ac:dyDescent="0.25">
      <c r="A9" s="5" t="s">
        <v>24</v>
      </c>
      <c r="B9" s="2">
        <v>8.3354166666666654</v>
      </c>
    </row>
    <row r="10" spans="1:2" x14ac:dyDescent="0.25">
      <c r="A10" s="5" t="s">
        <v>74</v>
      </c>
      <c r="B10" s="2">
        <v>4.2905555555555557</v>
      </c>
    </row>
    <row r="11" spans="1:2" x14ac:dyDescent="0.25">
      <c r="A11" s="5" t="s">
        <v>14</v>
      </c>
      <c r="B11" s="2">
        <v>4.7879861111111115</v>
      </c>
    </row>
    <row r="12" spans="1:2" x14ac:dyDescent="0.25">
      <c r="A12" s="5" t="s">
        <v>38</v>
      </c>
      <c r="B12" s="2">
        <v>8.3625000000000007</v>
      </c>
    </row>
    <row r="13" spans="1:2" x14ac:dyDescent="0.25">
      <c r="A13" s="5" t="s">
        <v>1</v>
      </c>
      <c r="B13" s="2">
        <v>7.0541666666666663</v>
      </c>
    </row>
    <row r="14" spans="1:2" x14ac:dyDescent="0.25">
      <c r="A14" s="5" t="s">
        <v>53</v>
      </c>
      <c r="B14" s="2">
        <v>6.9611111111111112</v>
      </c>
    </row>
    <row r="15" spans="1:2" x14ac:dyDescent="0.25">
      <c r="A15" s="5" t="s">
        <v>6</v>
      </c>
      <c r="B15" s="2">
        <v>5.7482936507936504</v>
      </c>
    </row>
    <row r="16" spans="1:2" x14ac:dyDescent="0.25">
      <c r="A16" s="4" t="s">
        <v>22</v>
      </c>
      <c r="B16" s="2">
        <v>105.14095785440612</v>
      </c>
    </row>
    <row r="17" spans="1:2" x14ac:dyDescent="0.25">
      <c r="A17" s="5" t="s">
        <v>24</v>
      </c>
      <c r="B17" s="2">
        <v>85.57421296296296</v>
      </c>
    </row>
    <row r="18" spans="1:2" x14ac:dyDescent="0.25">
      <c r="A18" s="5" t="s">
        <v>74</v>
      </c>
      <c r="B18" s="2">
        <v>106.44976851851852</v>
      </c>
    </row>
    <row r="19" spans="1:2" x14ac:dyDescent="0.25">
      <c r="A19" s="5" t="s">
        <v>14</v>
      </c>
      <c r="B19" s="2">
        <v>81.885222222222225</v>
      </c>
    </row>
    <row r="20" spans="1:2" x14ac:dyDescent="0.25">
      <c r="A20" s="5" t="s">
        <v>38</v>
      </c>
      <c r="B20" s="2">
        <v>108.93666666666665</v>
      </c>
    </row>
    <row r="21" spans="1:2" x14ac:dyDescent="0.25">
      <c r="A21" s="5" t="s">
        <v>1</v>
      </c>
      <c r="B21" s="2">
        <v>94.590793650793657</v>
      </c>
    </row>
    <row r="22" spans="1:2" x14ac:dyDescent="0.25">
      <c r="A22" s="5" t="s">
        <v>53</v>
      </c>
      <c r="B22" s="2">
        <v>112.96796296296294</v>
      </c>
    </row>
    <row r="23" spans="1:2" x14ac:dyDescent="0.25">
      <c r="A23" s="5" t="s">
        <v>6</v>
      </c>
      <c r="B23" s="2">
        <v>126.54246527777779</v>
      </c>
    </row>
    <row r="24" spans="1:2" x14ac:dyDescent="0.25">
      <c r="A24" s="4" t="s">
        <v>9</v>
      </c>
      <c r="B24" s="2">
        <v>27.309911816578481</v>
      </c>
    </row>
    <row r="25" spans="1:2" x14ac:dyDescent="0.25">
      <c r="A25" s="5" t="s">
        <v>24</v>
      </c>
      <c r="B25" s="2">
        <v>23.802833333333332</v>
      </c>
    </row>
    <row r="26" spans="1:2" x14ac:dyDescent="0.25">
      <c r="A26" s="5" t="s">
        <v>74</v>
      </c>
      <c r="B26" s="2">
        <v>26.598749999999999</v>
      </c>
    </row>
    <row r="27" spans="1:2" x14ac:dyDescent="0.25">
      <c r="A27" s="5" t="s">
        <v>14</v>
      </c>
      <c r="B27" s="2">
        <v>20.22854938271605</v>
      </c>
    </row>
    <row r="28" spans="1:2" x14ac:dyDescent="0.25">
      <c r="A28" s="5" t="s">
        <v>38</v>
      </c>
      <c r="B28" s="2">
        <v>31.660353535353533</v>
      </c>
    </row>
    <row r="29" spans="1:2" x14ac:dyDescent="0.25">
      <c r="A29" s="5" t="s">
        <v>1</v>
      </c>
      <c r="B29" s="2">
        <v>30.559374999999999</v>
      </c>
    </row>
    <row r="30" spans="1:2" x14ac:dyDescent="0.25">
      <c r="A30" s="5" t="s">
        <v>6</v>
      </c>
      <c r="B30" s="2">
        <v>27.704594017094013</v>
      </c>
    </row>
    <row r="31" spans="1:2" x14ac:dyDescent="0.25">
      <c r="A31" s="4" t="s">
        <v>332</v>
      </c>
      <c r="B31" s="2">
        <v>53.296601851851868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ACF2E-EA57-43A2-BD42-C87B0B63C2F0}">
  <dimension ref="A3:B14"/>
  <sheetViews>
    <sheetView workbookViewId="0">
      <selection activeCell="A3" sqref="A3"/>
    </sheetView>
  </sheetViews>
  <sheetFormatPr defaultRowHeight="15" x14ac:dyDescent="0.25"/>
  <cols>
    <col min="1" max="1" width="13" customWidth="1"/>
    <col min="2" max="2" width="22.42578125" customWidth="1"/>
    <col min="3" max="3" width="7.85546875" customWidth="1"/>
    <col min="4" max="151" width="7.85546875" bestFit="1" customWidth="1"/>
    <col min="152" max="152" width="10.42578125" bestFit="1" customWidth="1"/>
  </cols>
  <sheetData>
    <row r="3" spans="1:2" x14ac:dyDescent="0.25">
      <c r="A3" s="3" t="s">
        <v>324</v>
      </c>
      <c r="B3" t="s">
        <v>338</v>
      </c>
    </row>
    <row r="4" spans="1:2" x14ac:dyDescent="0.25">
      <c r="A4" s="4" t="s">
        <v>2</v>
      </c>
      <c r="B4" s="2">
        <v>27.262321428571425</v>
      </c>
    </row>
    <row r="5" spans="1:2" x14ac:dyDescent="0.25">
      <c r="A5" s="4" t="s">
        <v>39</v>
      </c>
      <c r="B5" s="2">
        <v>33.45392857142857</v>
      </c>
    </row>
    <row r="6" spans="1:2" x14ac:dyDescent="0.25">
      <c r="A6" s="4" t="s">
        <v>18</v>
      </c>
      <c r="B6" s="2">
        <v>35.375320512820515</v>
      </c>
    </row>
    <row r="7" spans="1:2" x14ac:dyDescent="0.25">
      <c r="A7" s="4" t="s">
        <v>35</v>
      </c>
      <c r="B7" s="2">
        <v>46.389930555555551</v>
      </c>
    </row>
    <row r="8" spans="1:2" x14ac:dyDescent="0.25">
      <c r="A8" s="4" t="s">
        <v>7</v>
      </c>
      <c r="B8" s="2">
        <v>47.042602880658428</v>
      </c>
    </row>
    <row r="9" spans="1:2" x14ac:dyDescent="0.25">
      <c r="A9" s="4" t="s">
        <v>15</v>
      </c>
      <c r="B9" s="2">
        <v>50.214640522875818</v>
      </c>
    </row>
    <row r="10" spans="1:2" x14ac:dyDescent="0.25">
      <c r="A10" s="4" t="s">
        <v>48</v>
      </c>
      <c r="B10" s="2">
        <v>64.433263888888888</v>
      </c>
    </row>
    <row r="11" spans="1:2" x14ac:dyDescent="0.25">
      <c r="A11" s="4" t="s">
        <v>11</v>
      </c>
      <c r="B11" s="2">
        <v>66.843559027777786</v>
      </c>
    </row>
    <row r="12" spans="1:2" x14ac:dyDescent="0.25">
      <c r="A12" s="4" t="s">
        <v>25</v>
      </c>
      <c r="B12" s="2">
        <v>72.610359477124177</v>
      </c>
    </row>
    <row r="13" spans="1:2" x14ac:dyDescent="0.25">
      <c r="A13" s="4" t="s">
        <v>28</v>
      </c>
      <c r="B13" s="2">
        <v>82.225592592592605</v>
      </c>
    </row>
    <row r="14" spans="1:2" x14ac:dyDescent="0.25">
      <c r="A14" s="4" t="s">
        <v>332</v>
      </c>
      <c r="B14" s="2">
        <v>53.296601851851882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9679-D8C4-4171-AF47-F6F479F2F691}">
  <dimension ref="A1:B14"/>
  <sheetViews>
    <sheetView showGridLines="0" workbookViewId="0">
      <selection activeCell="A14" sqref="A14"/>
    </sheetView>
  </sheetViews>
  <sheetFormatPr defaultRowHeight="15" x14ac:dyDescent="0.25"/>
  <sheetData>
    <row r="1" spans="1:2" x14ac:dyDescent="0.25">
      <c r="A1" t="s">
        <v>339</v>
      </c>
      <c r="B1">
        <v>15</v>
      </c>
    </row>
    <row r="2" spans="1:2" x14ac:dyDescent="0.25">
      <c r="A2" t="s">
        <v>340</v>
      </c>
      <c r="B2">
        <v>51</v>
      </c>
    </row>
    <row r="3" spans="1:2" x14ac:dyDescent="0.25">
      <c r="A3" t="s">
        <v>341</v>
      </c>
      <c r="B3">
        <v>23</v>
      </c>
    </row>
    <row r="4" spans="1:2" x14ac:dyDescent="0.25">
      <c r="A4" t="s">
        <v>342</v>
      </c>
      <c r="B4">
        <v>24</v>
      </c>
    </row>
    <row r="7" spans="1:2" x14ac:dyDescent="0.25">
      <c r="A7" t="s">
        <v>344</v>
      </c>
    </row>
    <row r="8" spans="1:2" x14ac:dyDescent="0.25">
      <c r="A8" t="s">
        <v>345</v>
      </c>
    </row>
    <row r="9" spans="1:2" x14ac:dyDescent="0.25">
      <c r="A9" t="s">
        <v>346</v>
      </c>
    </row>
    <row r="10" spans="1:2" x14ac:dyDescent="0.25">
      <c r="A10" t="s">
        <v>347</v>
      </c>
    </row>
    <row r="11" spans="1:2" x14ac:dyDescent="0.25">
      <c r="A11" t="s">
        <v>343</v>
      </c>
    </row>
    <row r="12" spans="1:2" x14ac:dyDescent="0.25">
      <c r="A12" t="s">
        <v>348</v>
      </c>
    </row>
    <row r="13" spans="1:2" x14ac:dyDescent="0.25">
      <c r="A13" t="s">
        <v>349</v>
      </c>
    </row>
    <row r="14" spans="1:2" x14ac:dyDescent="0.25">
      <c r="A14"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Help Desk Tickets</vt:lpstr>
      <vt:lpstr>Month</vt:lpstr>
      <vt:lpstr>Hour</vt:lpstr>
      <vt:lpstr>Week</vt:lpstr>
      <vt:lpstr>ResolutionTimeAnalysis</vt:lpstr>
      <vt:lpstr>Analyst performance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Poornima Konduru</dc:creator>
  <cp:lastModifiedBy>Kaniki Haripriya</cp:lastModifiedBy>
  <dcterms:created xsi:type="dcterms:W3CDTF">2026-03-19T17:57:59Z</dcterms:created>
  <dcterms:modified xsi:type="dcterms:W3CDTF">2026-03-20T19:41:23Z</dcterms:modified>
</cp:coreProperties>
</file>