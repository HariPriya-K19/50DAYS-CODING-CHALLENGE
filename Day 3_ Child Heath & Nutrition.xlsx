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pool0.isilon-sb.intranet.local\Horizonfiles\UEMUserProfile\AIUKQZ5\Desktop\"/>
    </mc:Choice>
  </mc:AlternateContent>
  <xr:revisionPtr revIDLastSave="0" documentId="8_{8D03C66A-4189-4785-B347-41F966A538ED}" xr6:coauthVersionLast="47" xr6:coauthVersionMax="47" xr10:uidLastSave="{00000000-0000-0000-0000-000000000000}"/>
  <bookViews>
    <workbookView xWindow="-120" yWindow="-120" windowWidth="20730" windowHeight="11040" xr2:uid="{DC25256D-F9FC-4869-BEFD-52EAFAF25526}"/>
  </bookViews>
  <sheets>
    <sheet name="Kids growth analysis" sheetId="2" r:id="rId1"/>
    <sheet name="Health status" sheetId="3" r:id="rId2"/>
    <sheet name="Nutrient analysis" sheetId="5" r:id="rId3"/>
    <sheet name="Sugar &amp; screen time" sheetId="6" r:id="rId4"/>
    <sheet name="Regional Analysis" sheetId="7" r:id="rId5"/>
    <sheet name="Dashboard" sheetId="8" r:id="rId6"/>
    <sheet name="Summary" sheetId="10" r:id="rId7"/>
  </sheets>
  <definedNames>
    <definedName name="Cleaned_Data">'Kids growth analysis'!$L$4</definedName>
    <definedName name="Dashboard">Dashboard!$W$17</definedName>
    <definedName name="ExternalData_1" localSheetId="0" hidden="1">'Kids growth analysis'!$A$1:$K$101</definedName>
    <definedName name="Slicer_Gender">#N/A</definedName>
    <definedName name="Slicer_Health_Status">#N/A</definedName>
    <definedName name="Slicer_Region">#N/A</definedName>
  </definedNames>
  <calcPr calcId="191028"/>
  <pivotCaches>
    <pivotCache cacheId="5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R10" i="2"/>
  <c r="R9" i="2"/>
  <c r="R8" i="2"/>
  <c r="R7" i="2"/>
  <c r="R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550F4D-D1FD-487E-904F-0574B19FB7B9}" keepAlive="1" name="Query - Kids growth analysis" description="Connection to the 'Kids growth analysis' query in the workbook." type="5" refreshedVersion="8" background="1" saveData="1">
    <dbPr connection="Provider=Microsoft.Mashup.OleDb.1;Data Source=$Workbook$;Location=&quot;Kids growth analysis&quot;;Extended Properties=&quot;&quot;" command="SELECT * FROM [Kids growth analysis]"/>
  </connection>
</connections>
</file>

<file path=xl/sharedStrings.xml><?xml version="1.0" encoding="utf-8"?>
<sst xmlns="http://schemas.openxmlformats.org/spreadsheetml/2006/main" count="373" uniqueCount="166">
  <si>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</si>
  <si>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</si>
  <si>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</si>
  <si>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</si>
  <si>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</si>
  <si>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</si>
  <si>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</si>
  <si>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</si>
  <si>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</si>
  <si>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</si>
  <si>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</si>
  <si>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</si>
  <si>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</si>
  <si>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</si>
  <si>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</si>
  <si>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</si>
  <si>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</si>
  <si>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</si>
  <si>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</si>
  <si>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</si>
  <si>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</si>
  <si>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</si>
  <si>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</si>
  <si>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</si>
  <si>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</si>
  <si>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</si>
  <si>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</si>
  <si>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</si>
  <si>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</si>
  <si>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</si>
  <si>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</si>
  <si>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</si>
  <si>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</si>
  <si>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</si>
  <si>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</si>
  <si>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</si>
  <si>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</si>
  <si>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</si>
  <si>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</si>
  <si>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</si>
  <si>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</si>
  <si>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</si>
  <si>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</si>
  <si>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</si>
  <si>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</si>
  <si>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</si>
  <si>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</si>
  <si>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</si>
  <si>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</si>
  <si>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</si>
  <si>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</si>
  <si>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</si>
  <si>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</si>
  <si>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</si>
  <si>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</si>
  <si>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</si>
  <si>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</si>
  <si>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</si>
  <si>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</si>
  <si>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</si>
  <si>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</si>
  <si>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</si>
  <si>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</si>
  <si>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</si>
  <si>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</si>
  <si>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</si>
  <si>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</si>
  <si>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</si>
  <si>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</si>
  <si>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</si>
  <si>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</si>
  <si>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</si>
  <si>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</si>
  <si>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</si>
  <si>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</si>
  <si>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</si>
  <si>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</si>
  <si>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</si>
  <si>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</si>
  <si>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</si>
  <si>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</si>
  <si>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</si>
  <si>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</si>
  <si>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</si>
  <si>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</si>
  <si>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</si>
  <si>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</si>
  <si>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</si>
  <si>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</si>
  <si>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</si>
  <si>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</si>
  <si>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</si>
  <si>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</si>
  <si>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</si>
  <si>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</si>
  <si>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</si>
  <si>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</si>
  <si>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</si>
  <si>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</si>
  <si>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</si>
  <si>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</si>
  <si>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</si>
  <si>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</si>
  <si>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</si>
  <si>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</si>
  <si>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</si>
  <si>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</si>
  <si>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</si>
  <si>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</si>
  <si>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</si>
  <si>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</si>
  <si>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</si>
  <si>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</si>
  <si>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</si>
  <si>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</si>
  <si>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</si>
  <si>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</si>
  <si>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Age_Years</t>
  </si>
  <si>
    <t>BMI</t>
  </si>
  <si>
    <t>Health_Status</t>
  </si>
  <si>
    <t>AVERAGE BMI</t>
  </si>
  <si>
    <t>Average Sugar Drinks</t>
  </si>
  <si>
    <t>AVERAGE FRUIT Intake</t>
  </si>
  <si>
    <t>Average veg servings</t>
  </si>
  <si>
    <t>average screen time</t>
  </si>
  <si>
    <t>1.Health Status by Age Group: Analyze the distribution of Health_Status across different age groups (e.g., 24-36 months, 37-48 months, etc.). Use a PivotTable and a clustered column chart.</t>
  </si>
  <si>
    <t>Count of ChildID</t>
  </si>
  <si>
    <t>Health_status</t>
  </si>
  <si>
    <t>Healthyweight</t>
  </si>
  <si>
    <t>Underweight</t>
  </si>
  <si>
    <t>Grand Total</t>
  </si>
  <si>
    <t>24-36</t>
  </si>
  <si>
    <t>&gt;36</t>
  </si>
  <si>
    <t>2.Nutrient Intake vs. BMI: Create a PivotTable to find the average BMI for children based on their Daily_Fruit_Servings and Daily_Veggie_Servings. Use a Slicer for Region to filter the data.</t>
  </si>
  <si>
    <t>Nutrient Intake</t>
  </si>
  <si>
    <t>Average of BMI</t>
  </si>
  <si>
    <r>
      <t>3.Correlation of Sugar and Screen Time</t>
    </r>
    <r>
      <rPr>
        <sz val="11"/>
        <color theme="1"/>
        <rFont val="Calibri"/>
        <family val="2"/>
        <scheme val="minor"/>
      </rPr>
      <t>: Find the average Daily_Sugar_Drinks and ScreenTime_Hours for each Health_Status category. A bar chart would be ideal to visualize this.</t>
    </r>
  </si>
  <si>
    <t>Health status</t>
  </si>
  <si>
    <t>Average of ScreenTime_Hours</t>
  </si>
  <si>
    <t>Average of Daily_Sugar_Drinks</t>
  </si>
  <si>
    <r>
      <t>4.Regional Differences</t>
    </r>
    <r>
      <rPr>
        <sz val="11"/>
        <color theme="1"/>
        <rFont val="Calibri"/>
        <family val="2"/>
        <scheme val="minor"/>
      </rPr>
      <t xml:space="preserve">: Use a PivotTable to compare the average BMI and Daily_Fruit_Servings for each Region. Apply </t>
    </r>
    <r>
      <rPr>
        <b/>
        <sz val="11"/>
        <color theme="1"/>
        <rFont val="Calibri"/>
        <family val="2"/>
        <scheme val="minor"/>
      </rPr>
      <t xml:space="preserve">Conditional Formatting </t>
    </r>
    <r>
      <rPr>
        <sz val="11"/>
        <color theme="1"/>
        <rFont val="Calibri"/>
        <family val="2"/>
        <scheme val="minor"/>
      </rPr>
      <t>to highlight the highest and lowest values in the table.</t>
    </r>
  </si>
  <si>
    <t>Average of Daily_Fruit_Servings</t>
  </si>
  <si>
    <t>Executive Summary – Child Nutrition &amp; Growth Analysis</t>
  </si>
  <si>
    <t>Overview</t>
  </si>
  <si>
    <t>Analyzed the relationship between children's dietary habits and physical growth</t>
  </si>
  <si>
    <t>Key factors considered: BMI, fruit intake, vegetable intake, sugar consumption, and screen time</t>
  </si>
  <si>
    <t>Key Findings</t>
  </si>
  <si>
    <t>Higher sugar consumption is associated with increased BMI levels</t>
  </si>
  <si>
    <t>Increased screen time is linked to unhealthy weight categories</t>
  </si>
  <si>
    <t>Higher fruit and vegetable intake supports healthy BMI levels</t>
  </si>
  <si>
    <t>Lifestyle habits have a strong impact on child health outcomes</t>
  </si>
  <si>
    <t>Regional differences exist in both dietary patterns and BMI levels</t>
  </si>
  <si>
    <t>Age groups show variation in health status distribution</t>
  </si>
  <si>
    <t xml:space="preserve"> Key Insights</t>
  </si>
  <si>
    <t>Unhealthy habits (high sugar + screen time) → higher risk of overweight</t>
  </si>
  <si>
    <t>Healthy eating habits → better growth and balanced BMI</t>
  </si>
  <si>
    <t>Certain regions may require more focused health interventions</t>
  </si>
  <si>
    <t xml:space="preserve"> Recommendations</t>
  </si>
  <si>
    <t>Reduce sugary drink consumption through awareness programs</t>
  </si>
  <si>
    <t>Promote daily intake of fruits and vegetables among children</t>
  </si>
  <si>
    <t>Encourage reduced screen time and increased physical activity</t>
  </si>
  <si>
    <t>Implement early-age health and nutrition education programs</t>
  </si>
  <si>
    <t>Focus on region-specific strategies for better impact</t>
  </si>
  <si>
    <t>Conclusion</t>
  </si>
  <si>
    <t>Balanced nutrition and active lifestyle are essential for healthy child growth</t>
  </si>
  <si>
    <t>Improving dietary habits can significantly reduce health risks in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</si>
</sst>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theme="8"/>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 fillId="0" borderId="0" xfId="0" applyFont="1"/>
    <xf numFmtId="0" fontId="1" fillId="0" borderId="0" xfId="0" applyFont="1" applyAlignment="1">
      <alignment vertical="center"/>
    </xf>
    <xf numFmtId="0" fontId="0" fillId="0" borderId="0" xfId="0" applyAlignment="1">
      <alignment vertical="center"/>
    </xf>
    <xf numFmtId="0" fontId="0" fillId="2" borderId="0" xfId="0" applyFill="1"/>
    <xf numFmtId="0" fontId="0" fillId="3" borderId="0" xfId="0" applyFill="1"/>
    <xf numFmtId="2" fontId="0" fillId="2" borderId="0" xfId="0" applyNumberFormat="1" applyFill="1"/>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0" fillId="0" borderId="0" xfId="0" applyNumberFormat="1"/>
  </cellXfs>
  <cellStyles count="1">
    <cellStyle name="Normal" xfId="0" builtinId="0"/>
  </cellStyles>
  <dxfs count="8">
    <dxf>
      <numFmt numFmtId="2" formatCode="0.00"/>
    </dxf>
    <dxf>
      <numFmt numFmtId="0" formatCode="General"/>
    </dxf>
    <dxf>
      <fill>
        <patternFill>
          <bgColor theme="5"/>
        </patternFill>
      </fill>
    </dxf>
    <dxf>
      <fill>
        <patternFill>
          <bgColor theme="8"/>
        </patternFill>
      </fill>
    </dxf>
    <dxf>
      <fill>
        <patternFill>
          <bgColor theme="8"/>
        </patternFill>
      </fill>
    </dxf>
    <dxf>
      <numFmt numFmtId="0" formatCode="General"/>
    </dxf>
    <dxf>
      <numFmt numFmtId="0" formatCode="General"/>
    </dxf>
    <dxf>
      <numFmt numFmtId="0" formatCode="General"/>
    </dxf>
  </dxfs>
  <tableStyles count="0" defaultTableStyle="TableStyleMedium2" defaultPivotStyle="PivotStyleLight16"/>
  <colors>
    <mruColors>
      <color rgb="FF8DDF1F"/>
      <color rgb="FF0BF379"/>
      <color rgb="FFF4C20A"/>
      <color rgb="FFAFFDC3"/>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3_ Child Heath &amp; Nutrition.xlsx]Health status!PivotTable1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Age Group wise Health</a:t>
            </a:r>
            <a:r>
              <a:rPr lang="en-IN" b="1" baseline="0">
                <a:solidFill>
                  <a:schemeClr val="tx1"/>
                </a:solidFill>
              </a:rPr>
              <a:t>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status'!$B$3:$B$4</c:f>
              <c:strCache>
                <c:ptCount val="1"/>
                <c:pt idx="0">
                  <c:v>Healthyweight</c:v>
                </c:pt>
              </c:strCache>
            </c:strRef>
          </c:tx>
          <c:spPr>
            <a:solidFill>
              <a:srgbClr val="7030A0"/>
            </a:solidFill>
            <a:ln>
              <a:noFill/>
            </a:ln>
            <a:effectLst/>
          </c:spPr>
          <c:invertIfNegative val="0"/>
          <c:cat>
            <c:strRef>
              <c:f>'Health status'!$A$5:$A$7</c:f>
              <c:strCache>
                <c:ptCount val="2"/>
                <c:pt idx="0">
                  <c:v>24-36</c:v>
                </c:pt>
                <c:pt idx="1">
                  <c:v>&gt;36</c:v>
                </c:pt>
              </c:strCache>
            </c:strRef>
          </c:cat>
          <c:val>
            <c:numRef>
              <c:f>'Health status'!$B$5:$B$7</c:f>
              <c:numCache>
                <c:formatCode>General</c:formatCode>
                <c:ptCount val="2"/>
                <c:pt idx="0">
                  <c:v>6</c:v>
                </c:pt>
                <c:pt idx="1">
                  <c:v>18</c:v>
                </c:pt>
              </c:numCache>
            </c:numRef>
          </c:val>
          <c:extLst>
            <c:ext xmlns:c16="http://schemas.microsoft.com/office/drawing/2014/chart" uri="{C3380CC4-5D6E-409C-BE32-E72D297353CC}">
              <c16:uniqueId val="{00000000-8853-4232-972D-51886558A0F6}"/>
            </c:ext>
          </c:extLst>
        </c:ser>
        <c:ser>
          <c:idx val="1"/>
          <c:order val="1"/>
          <c:tx>
            <c:strRef>
              <c:f>'Health status'!$C$3:$C$4</c:f>
              <c:strCache>
                <c:ptCount val="1"/>
                <c:pt idx="0">
                  <c:v>Underweight</c:v>
                </c:pt>
              </c:strCache>
            </c:strRef>
          </c:tx>
          <c:spPr>
            <a:solidFill>
              <a:schemeClr val="accent4"/>
            </a:solidFill>
            <a:ln>
              <a:noFill/>
            </a:ln>
            <a:effectLst/>
          </c:spPr>
          <c:invertIfNegative val="0"/>
          <c:cat>
            <c:strRef>
              <c:f>'Health status'!$A$5:$A$7</c:f>
              <c:strCache>
                <c:ptCount val="2"/>
                <c:pt idx="0">
                  <c:v>24-36</c:v>
                </c:pt>
                <c:pt idx="1">
                  <c:v>&gt;36</c:v>
                </c:pt>
              </c:strCache>
            </c:strRef>
          </c:cat>
          <c:val>
            <c:numRef>
              <c:f>'Health status'!$C$5:$C$7</c:f>
              <c:numCache>
                <c:formatCode>General</c:formatCode>
                <c:ptCount val="2"/>
                <c:pt idx="0">
                  <c:v>33</c:v>
                </c:pt>
                <c:pt idx="1">
                  <c:v>43</c:v>
                </c:pt>
              </c:numCache>
            </c:numRef>
          </c:val>
          <c:extLst>
            <c:ext xmlns:c16="http://schemas.microsoft.com/office/drawing/2014/chart" uri="{C3380CC4-5D6E-409C-BE32-E72D297353CC}">
              <c16:uniqueId val="{00000002-C21B-42CF-AD74-56B579226694}"/>
            </c:ext>
          </c:extLst>
        </c:ser>
        <c:dLbls>
          <c:showLegendKey val="0"/>
          <c:showVal val="0"/>
          <c:showCatName val="0"/>
          <c:showSerName val="0"/>
          <c:showPercent val="0"/>
          <c:showBubbleSize val="0"/>
        </c:dLbls>
        <c:gapWidth val="219"/>
        <c:overlap val="-27"/>
        <c:axId val="1251876143"/>
        <c:axId val="1251873263"/>
      </c:barChart>
      <c:catAx>
        <c:axId val="125187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73263"/>
        <c:crosses val="autoZero"/>
        <c:auto val="1"/>
        <c:lblAlgn val="ctr"/>
        <c:lblOffset val="100"/>
        <c:noMultiLvlLbl val="0"/>
      </c:catAx>
      <c:valAx>
        <c:axId val="1251873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child</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3_ Child Heath &amp; Nutrition.xlsx]Sugar &amp; screen time!PivotTable4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Sugar Drinks &amp; Screen Time Analysis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'Sugar &amp; screen time'!$B$3</c:f>
              <c:strCache>
                <c:ptCount val="1"/>
                <c:pt idx="0">
                  <c:v>Average of ScreenTime_Hours</c:v>
                </c:pt>
              </c:strCache>
            </c:strRef>
          </c:tx>
          <c:spPr>
            <a:solidFill>
              <a:srgbClr val="7030A0"/>
            </a:solidFill>
            <a:ln>
              <a:noFill/>
            </a:ln>
            <a:effectLst/>
          </c:spPr>
          <c:invertIfNegative val="0"/>
          <c:cat>
            <c:strRef>
              <c:f>'Sugar &amp; screen time'!$A$4:$A$6</c:f>
              <c:strCache>
                <c:ptCount val="2"/>
                <c:pt idx="0">
                  <c:v>Healthyweight</c:v>
                </c:pt>
                <c:pt idx="1">
                  <c:v>Underweight</c:v>
                </c:pt>
              </c:strCache>
            </c:strRef>
          </c:cat>
          <c:val>
            <c:numRef>
              <c:f>'Sugar &amp; screen time'!$B$4:$B$6</c:f>
              <c:numCache>
                <c:formatCode>0.00</c:formatCode>
                <c:ptCount val="2"/>
                <c:pt idx="0">
                  <c:v>1.6875000000000002</c:v>
                </c:pt>
                <c:pt idx="1">
                  <c:v>1.2986842105263157</c:v>
                </c:pt>
              </c:numCache>
            </c:numRef>
          </c:val>
          <c:extLst>
            <c:ext xmlns:c16="http://schemas.microsoft.com/office/drawing/2014/chart" uri="{C3380CC4-5D6E-409C-BE32-E72D297353CC}">
              <c16:uniqueId val="{00000000-0F93-4DDB-86F9-8376250576BE}"/>
            </c:ext>
          </c:extLst>
        </c:ser>
        <c:ser>
          <c:idx val="1"/>
          <c:order val="1"/>
          <c:tx>
            <c:strRef>
              <c:f>'Sugar &amp; screen time'!$C$3</c:f>
              <c:strCache>
                <c:ptCount val="1"/>
                <c:pt idx="0">
                  <c:v>Average of Daily_Sugar_Drinks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'Sugar &amp; screen time'!$A$4:$A$6</c:f>
              <c:strCache>
                <c:ptCount val="2"/>
                <c:pt idx="0">
                  <c:v>Healthyweight</c:v>
                </c:pt>
                <c:pt idx="1">
                  <c:v>Underweight</c:v>
                </c:pt>
              </c:strCache>
            </c:strRef>
          </c:cat>
          <c:val>
            <c:numRef>
              <c:f>'Sugar &amp; screen time'!$C$4:$C$6</c:f>
              <c:numCache>
                <c:formatCode>0.00</c:formatCode>
                <c:ptCount val="2"/>
                <c:pt idx="0">
                  <c:v>1.5833333333333333</c:v>
                </c:pt>
                <c:pt idx="1">
                  <c:v>1.3026315789473684</c:v>
                </c:pt>
              </c:numCache>
            </c:numRef>
          </c:val>
          <c:extLst>
            <c:ext xmlns:c16="http://schemas.microsoft.com/office/drawing/2014/chart" uri="{C3380CC4-5D6E-409C-BE32-E72D297353CC}">
              <c16:uniqueId val="{00000004-0F93-4DDB-86F9-8376250576BE}"/>
            </c:ext>
          </c:extLst>
        </c:ser>
        <c:dLbls>
          <c:showLegendKey val="0"/>
          <c:showVal val="0"/>
          <c:showCatName val="0"/>
          <c:showSerName val="0"/>
          <c:showPercent val="0"/>
          <c:showBubbleSize val="0"/>
        </c:dLbls>
        <c:gapWidth val="182"/>
        <c:axId val="1251892463"/>
        <c:axId val="1251898223"/>
      </c:barChart>
      <c:catAx>
        <c:axId val="1251892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values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98223"/>
        <c:crosses val="autoZero"/>
        <c:auto val="1"/>
        <c:lblAlgn val="ctr"/>
        <c:lblOffset val="100"/>
        <c:noMultiLvlLbl val="0"/>
      </c:catAx>
      <c:valAx>
        <c:axId val="1251898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Health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92463"/>
        <c:crosses val="autoZero"/>
        <c:crossBetween val="between"/>
      </c:valAx>
      <c:spPr>
        <a:noFill/>
        <a:ln>
          <a:noFill/>
        </a:ln>
        <a:effectLst/>
      </c:spPr>
    </c:plotArea>
    <c:legend>
      <c:legendPos val="r"/>
      <c:layout>
        <c:manualLayout>
          <c:xMode val="edge"/>
          <c:yMode val="edge"/>
          <c:x val="0.69489923929000408"/>
          <c:y val="0.42187445319335082"/>
          <c:w val="0.29154143867609766"/>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3_ Child Heath &amp; Nutrition.xlsx]Regional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Regional Comparison of BMI and Fruit Intake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'Regional Analysis'!$B$3</c:f>
              <c:strCache>
                <c:ptCount val="1"/>
                <c:pt idx="0">
                  <c:v>Average of BMI</c:v>
                </c:pt>
              </c:strCache>
            </c:strRef>
          </c:tx>
          <c:spPr>
            <a:solidFill>
              <a:schemeClr val="accent6">
                <a:lumMod val="50000"/>
              </a:schemeClr>
            </a:solidFill>
            <a:ln>
              <a:noFill/>
            </a:ln>
            <a:effectLst/>
            <a:sp3d/>
          </c:spPr>
          <c:invertIfNegative val="0"/>
          <c:cat>
            <c:strRef>
              <c:f>'Regional Analysis'!$A$4:$A$9</c:f>
              <c:strCache>
                <c:ptCount val="5"/>
                <c:pt idx="0">
                  <c:v>Central</c:v>
                </c:pt>
                <c:pt idx="1">
                  <c:v>East</c:v>
                </c:pt>
                <c:pt idx="2">
                  <c:v>North</c:v>
                </c:pt>
                <c:pt idx="3">
                  <c:v>South</c:v>
                </c:pt>
                <c:pt idx="4">
                  <c:v>West</c:v>
                </c:pt>
              </c:strCache>
            </c:strRef>
          </c:cat>
          <c:val>
            <c:numRef>
              <c:f>'Regional Analysis'!$B$4:$B$9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EE33-450F-807C-D7CF5089A927}"/>
            </c:ext>
          </c:extLst>
        </c:ser>
        <c:ser>
          <c:idx val="1"/>
          <c:order val="1"/>
          <c:tx>
            <c:strRef>
              <c:f>'Regional Analysis'!$C$3</c:f>
              <c:strCache>
                <c:ptCount val="1"/>
                <c:pt idx="0">
                  <c:v>Average of Daily_Fruit_Servings</c:v>
                </c:pt>
              </c:strCache>
            </c:strRef>
          </c:tx>
          <c:spPr>
            <a:solidFill>
              <a:schemeClr val="accent2"/>
            </a:solidFill>
            <a:ln>
              <a:noFill/>
            </a:ln>
            <a:effectLst/>
            <a:sp3d/>
          </c:spPr>
          <c:invertIfNegative val="0"/>
          <c:cat>
            <c:strRef>
              <c:f>'Regional Analysis'!$A$4:$A$9</c:f>
              <c:strCache>
                <c:ptCount val="5"/>
                <c:pt idx="0">
                  <c:v>Central</c:v>
                </c:pt>
                <c:pt idx="1">
                  <c:v>East</c:v>
                </c:pt>
                <c:pt idx="2">
                  <c:v>North</c:v>
                </c:pt>
                <c:pt idx="3">
                  <c:v>South</c:v>
                </c:pt>
                <c:pt idx="4">
                  <c:v>West</c:v>
                </c:pt>
              </c:strCache>
            </c:strRef>
          </c:cat>
          <c:val>
            <c:numRef>
              <c:f>'Regional Analysis'!$C$4:$C$9</c:f>
              <c:numCache>
                <c:formatCode>0.00</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EE33-450F-807C-D7CF5089A927}"/>
            </c:ext>
          </c:extLst>
        </c:ser>
        <c:dLbls>
          <c:showLegendKey val="0"/>
          <c:showVal val="0"/>
          <c:showCatName val="0"/>
          <c:showSerName val="0"/>
          <c:showPercent val="0"/>
          <c:showBubbleSize val="0"/>
        </c:dLbls>
        <c:gapWidth val="150"/>
        <c:shape val="box"/>
        <c:axId val="308616127"/>
        <c:axId val="308616607"/>
        <c:axId val="0"/>
      </c:bar3DChart>
      <c:catAx>
        <c:axId val="308616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16607"/>
        <c:crosses val="autoZero"/>
        <c:auto val="1"/>
        <c:lblAlgn val="ctr"/>
        <c:lblOffset val="100"/>
        <c:noMultiLvlLbl val="0"/>
      </c:catAx>
      <c:valAx>
        <c:axId val="30861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Values</a:t>
                </a:r>
                <a:endParaRPr lang="en-IN" baseline="0"/>
              </a:p>
            </c:rich>
          </c:tx>
          <c:layout>
            <c:manualLayout>
              <c:xMode val="edge"/>
              <c:yMode val="edge"/>
              <c:x val="1.0279746281714788E-2"/>
              <c:y val="0.332930154564012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1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3_ Child Heath &amp; Nutrition.xlsx]Health status!PivotTable1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Age Group wise Health</a:t>
            </a:r>
            <a:r>
              <a:rPr lang="en-IN" b="1" baseline="0">
                <a:solidFill>
                  <a:schemeClr val="tx1"/>
                </a:solidFill>
              </a:rPr>
              <a:t>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status'!$B$3:$B$4</c:f>
              <c:strCache>
                <c:ptCount val="1"/>
                <c:pt idx="0">
                  <c:v>Healthyweight</c:v>
                </c:pt>
              </c:strCache>
            </c:strRef>
          </c:tx>
          <c:spPr>
            <a:solidFill>
              <a:srgbClr val="7030A0"/>
            </a:solidFill>
            <a:ln>
              <a:noFill/>
            </a:ln>
            <a:effectLst/>
          </c:spPr>
          <c:invertIfNegative val="0"/>
          <c:cat>
            <c:strRef>
              <c:f>'Health status'!$A$5:$A$7</c:f>
              <c:strCache>
                <c:ptCount val="2"/>
                <c:pt idx="0">
                  <c:v>24-36</c:v>
                </c:pt>
                <c:pt idx="1">
                  <c:v>&gt;36</c:v>
                </c:pt>
              </c:strCache>
            </c:strRef>
          </c:cat>
          <c:val>
            <c:numRef>
              <c:f>'Health status'!$B$5:$B$7</c:f>
              <c:numCache>
                <c:formatCode>General</c:formatCode>
                <c:ptCount val="2"/>
                <c:pt idx="0">
                  <c:v>6</c:v>
                </c:pt>
                <c:pt idx="1">
                  <c:v>18</c:v>
                </c:pt>
              </c:numCache>
            </c:numRef>
          </c:val>
          <c:extLst>
            <c:ext xmlns:c16="http://schemas.microsoft.com/office/drawing/2014/chart" uri="{C3380CC4-5D6E-409C-BE32-E72D297353CC}">
              <c16:uniqueId val="{00000000-E0B3-4E08-8F0F-1694E8B9E862}"/>
            </c:ext>
          </c:extLst>
        </c:ser>
        <c:ser>
          <c:idx val="1"/>
          <c:order val="1"/>
          <c:tx>
            <c:strRef>
              <c:f>'Health status'!$C$3:$C$4</c:f>
              <c:strCache>
                <c:ptCount val="1"/>
                <c:pt idx="0">
                  <c:v>Underweight</c:v>
                </c:pt>
              </c:strCache>
            </c:strRef>
          </c:tx>
          <c:spPr>
            <a:solidFill>
              <a:schemeClr val="accent4"/>
            </a:solidFill>
            <a:ln>
              <a:noFill/>
            </a:ln>
            <a:effectLst/>
          </c:spPr>
          <c:invertIfNegative val="0"/>
          <c:cat>
            <c:strRef>
              <c:f>'Health status'!$A$5:$A$7</c:f>
              <c:strCache>
                <c:ptCount val="2"/>
                <c:pt idx="0">
                  <c:v>24-36</c:v>
                </c:pt>
                <c:pt idx="1">
                  <c:v>&gt;36</c:v>
                </c:pt>
              </c:strCache>
            </c:strRef>
          </c:cat>
          <c:val>
            <c:numRef>
              <c:f>'Health status'!$C$5:$C$7</c:f>
              <c:numCache>
                <c:formatCode>General</c:formatCode>
                <c:ptCount val="2"/>
                <c:pt idx="0">
                  <c:v>33</c:v>
                </c:pt>
                <c:pt idx="1">
                  <c:v>43</c:v>
                </c:pt>
              </c:numCache>
            </c:numRef>
          </c:val>
          <c:extLst>
            <c:ext xmlns:c16="http://schemas.microsoft.com/office/drawing/2014/chart" uri="{C3380CC4-5D6E-409C-BE32-E72D297353CC}">
              <c16:uniqueId val="{00000002-CE36-4C32-9248-27D622B37EEE}"/>
            </c:ext>
          </c:extLst>
        </c:ser>
        <c:dLbls>
          <c:showLegendKey val="0"/>
          <c:showVal val="0"/>
          <c:showCatName val="0"/>
          <c:showSerName val="0"/>
          <c:showPercent val="0"/>
          <c:showBubbleSize val="0"/>
        </c:dLbls>
        <c:gapWidth val="219"/>
        <c:overlap val="-27"/>
        <c:axId val="1251876143"/>
        <c:axId val="1251873263"/>
      </c:barChart>
      <c:catAx>
        <c:axId val="125187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73263"/>
        <c:crosses val="autoZero"/>
        <c:auto val="1"/>
        <c:lblAlgn val="ctr"/>
        <c:lblOffset val="100"/>
        <c:noMultiLvlLbl val="0"/>
      </c:catAx>
      <c:valAx>
        <c:axId val="1251873263"/>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child</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3_ Child Heath &amp; Nutrition.xlsx]Sugar &amp; screen time!PivotTable4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Sugar Drinks &amp; Screen Time Analysis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'Sugar &amp; screen time'!$B$3</c:f>
              <c:strCache>
                <c:ptCount val="1"/>
                <c:pt idx="0">
                  <c:v>Average of ScreenTime_Hours</c:v>
                </c:pt>
              </c:strCache>
            </c:strRef>
          </c:tx>
          <c:spPr>
            <a:solidFill>
              <a:srgbClr val="FFC000"/>
            </a:solidFill>
            <a:ln>
              <a:solidFill>
                <a:schemeClr val="accent4">
                  <a:lumMod val="60000"/>
                  <a:lumOff val="40000"/>
                </a:schemeClr>
              </a:solidFill>
            </a:ln>
            <a:effectLst/>
          </c:spPr>
          <c:invertIfNegative val="0"/>
          <c:cat>
            <c:strRef>
              <c:f>'Sugar &amp; screen time'!$A$4:$A$6</c:f>
              <c:strCache>
                <c:ptCount val="2"/>
                <c:pt idx="0">
                  <c:v>Healthyweight</c:v>
                </c:pt>
                <c:pt idx="1">
                  <c:v>Underweight</c:v>
                </c:pt>
              </c:strCache>
            </c:strRef>
          </c:cat>
          <c:val>
            <c:numRef>
              <c:f>'Sugar &amp; screen time'!$B$4:$B$6</c:f>
              <c:numCache>
                <c:formatCode>0.00</c:formatCode>
                <c:ptCount val="2"/>
                <c:pt idx="0">
                  <c:v>1.6875000000000002</c:v>
                </c:pt>
                <c:pt idx="1">
                  <c:v>1.2986842105263157</c:v>
                </c:pt>
              </c:numCache>
            </c:numRef>
          </c:val>
          <c:extLst>
            <c:ext xmlns:c16="http://schemas.microsoft.com/office/drawing/2014/chart" uri="{C3380CC4-5D6E-409C-BE32-E72D297353CC}">
              <c16:uniqueId val="{00000000-3FA5-4208-BF08-0D6878BA026A}"/>
            </c:ext>
          </c:extLst>
        </c:ser>
        <c:ser>
          <c:idx val="1"/>
          <c:order val="1"/>
          <c:tx>
            <c:strRef>
              <c:f>'Sugar &amp; screen time'!$C$3</c:f>
              <c:strCache>
                <c:ptCount val="1"/>
                <c:pt idx="0">
                  <c:v>Average of Daily_Sugar_Drinks</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'Sugar &amp; screen time'!$A$4:$A$6</c:f>
              <c:strCache>
                <c:ptCount val="2"/>
                <c:pt idx="0">
                  <c:v>Healthyweight</c:v>
                </c:pt>
                <c:pt idx="1">
                  <c:v>Underweight</c:v>
                </c:pt>
              </c:strCache>
            </c:strRef>
          </c:cat>
          <c:val>
            <c:numRef>
              <c:f>'Sugar &amp; screen time'!$C$4:$C$6</c:f>
              <c:numCache>
                <c:formatCode>0.00</c:formatCode>
                <c:ptCount val="2"/>
                <c:pt idx="0">
                  <c:v>1.5833333333333333</c:v>
                </c:pt>
                <c:pt idx="1">
                  <c:v>1.3026315789473684</c:v>
                </c:pt>
              </c:numCache>
            </c:numRef>
          </c:val>
          <c:extLst>
            <c:ext xmlns:c16="http://schemas.microsoft.com/office/drawing/2014/chart" uri="{C3380CC4-5D6E-409C-BE32-E72D297353CC}">
              <c16:uniqueId val="{00000001-3FA5-4208-BF08-0D6878BA026A}"/>
            </c:ext>
          </c:extLst>
        </c:ser>
        <c:dLbls>
          <c:showLegendKey val="0"/>
          <c:showVal val="0"/>
          <c:showCatName val="0"/>
          <c:showSerName val="0"/>
          <c:showPercent val="0"/>
          <c:showBubbleSize val="0"/>
        </c:dLbls>
        <c:gapWidth val="182"/>
        <c:axId val="1251892463"/>
        <c:axId val="1251898223"/>
      </c:barChart>
      <c:catAx>
        <c:axId val="12518924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values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98223"/>
        <c:crosses val="autoZero"/>
        <c:auto val="1"/>
        <c:lblAlgn val="ctr"/>
        <c:lblOffset val="100"/>
        <c:noMultiLvlLbl val="0"/>
      </c:catAx>
      <c:valAx>
        <c:axId val="1251898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Health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892463"/>
        <c:crosses val="autoZero"/>
        <c:crossBetween val="between"/>
      </c:valAx>
      <c:spPr>
        <a:noFill/>
        <a:ln>
          <a:noFill/>
        </a:ln>
        <a:effectLst/>
      </c:spPr>
    </c:plotArea>
    <c:legend>
      <c:legendPos val="r"/>
      <c:layout>
        <c:manualLayout>
          <c:xMode val="edge"/>
          <c:yMode val="edge"/>
          <c:x val="0.69489923929000408"/>
          <c:y val="0.42187445319335082"/>
          <c:w val="0.29154143867609766"/>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3_ Child Heath &amp; Nutrition.xlsx]Regional 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Regional Comparison of BMI and Fruit Intake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2"/>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solidFill>
              <a:schemeClr val="tx2"/>
            </a:solidFill>
          </a:ln>
          <a:effectLst/>
          <a:sp3d>
            <a:contourClr>
              <a:schemeClr val="tx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'Regional Analysis'!$B$3</c:f>
              <c:strCache>
                <c:ptCount val="1"/>
                <c:pt idx="0">
                  <c:v>Average of BMI</c:v>
                </c:pt>
              </c:strCache>
            </c:strRef>
          </c:tx>
          <c:spPr>
            <a:solidFill>
              <a:srgbClr val="00B050"/>
            </a:solidFill>
            <a:ln>
              <a:solidFill>
                <a:schemeClr val="tx2"/>
              </a:solidFill>
            </a:ln>
            <a:effectLst/>
            <a:sp3d>
              <a:contourClr>
                <a:schemeClr val="tx2"/>
              </a:contourClr>
            </a:sp3d>
          </c:spPr>
          <c:invertIfNegative val="0"/>
          <c:cat>
            <c:strRef>
              <c:f>'Regional Analysis'!$A$4:$A$9</c:f>
              <c:strCache>
                <c:ptCount val="5"/>
                <c:pt idx="0">
                  <c:v>Central</c:v>
                </c:pt>
                <c:pt idx="1">
                  <c:v>East</c:v>
                </c:pt>
                <c:pt idx="2">
                  <c:v>North</c:v>
                </c:pt>
                <c:pt idx="3">
                  <c:v>South</c:v>
                </c:pt>
                <c:pt idx="4">
                  <c:v>West</c:v>
                </c:pt>
              </c:strCache>
            </c:strRef>
          </c:cat>
          <c:val>
            <c:numRef>
              <c:f>'Regional Analysis'!$B$4:$B$9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AB3E-47D0-944B-66C0A5746DFE}"/>
            </c:ext>
          </c:extLst>
        </c:ser>
        <c:ser>
          <c:idx val="1"/>
          <c:order val="1"/>
          <c:tx>
            <c:strRef>
              <c:f>'Regional Analysis'!$C$3</c:f>
              <c:strCache>
                <c:ptCount val="1"/>
                <c:pt idx="0">
                  <c:v>Average of Daily_Fruit_Servings</c:v>
                </c:pt>
              </c:strCache>
            </c:strRef>
          </c:tx>
          <c:spPr>
            <a:solidFill>
              <a:schemeClr val="accent2"/>
            </a:solidFill>
            <a:ln>
              <a:noFill/>
            </a:ln>
            <a:effectLst/>
            <a:sp3d/>
          </c:spPr>
          <c:invertIfNegative val="0"/>
          <c:cat>
            <c:strRef>
              <c:f>'Regional Analysis'!$A$4:$A$9</c:f>
              <c:strCache>
                <c:ptCount val="5"/>
                <c:pt idx="0">
                  <c:v>Central</c:v>
                </c:pt>
                <c:pt idx="1">
                  <c:v>East</c:v>
                </c:pt>
                <c:pt idx="2">
                  <c:v>North</c:v>
                </c:pt>
                <c:pt idx="3">
                  <c:v>South</c:v>
                </c:pt>
                <c:pt idx="4">
                  <c:v>West</c:v>
                </c:pt>
              </c:strCache>
            </c:strRef>
          </c:cat>
          <c:val>
            <c:numRef>
              <c:f>'Regional Analysis'!$C$4:$C$9</c:f>
              <c:numCache>
                <c:formatCode>0.00</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AB3E-47D0-944B-66C0A5746DFE}"/>
            </c:ext>
          </c:extLst>
        </c:ser>
        <c:dLbls>
          <c:showLegendKey val="0"/>
          <c:showVal val="0"/>
          <c:showCatName val="0"/>
          <c:showSerName val="0"/>
          <c:showPercent val="0"/>
          <c:showBubbleSize val="0"/>
        </c:dLbls>
        <c:gapWidth val="150"/>
        <c:shape val="box"/>
        <c:axId val="308616127"/>
        <c:axId val="308616607"/>
        <c:axId val="0"/>
      </c:bar3DChart>
      <c:catAx>
        <c:axId val="308616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16607"/>
        <c:crosses val="autoZero"/>
        <c:auto val="1"/>
        <c:lblAlgn val="ctr"/>
        <c:lblOffset val="100"/>
        <c:noMultiLvlLbl val="0"/>
      </c:catAx>
      <c:valAx>
        <c:axId val="30861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Values</a:t>
                </a:r>
                <a:endParaRPr lang="en-IN" baseline="0"/>
              </a:p>
            </c:rich>
          </c:tx>
          <c:layout>
            <c:manualLayout>
              <c:xMode val="edge"/>
              <c:yMode val="edge"/>
              <c:x val="1.0279746281714788E-2"/>
              <c:y val="0.332930154564012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61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95250</xdr:colOff>
      <xdr:row>8</xdr:row>
      <xdr:rowOff>19050</xdr:rowOff>
    </xdr:from>
    <xdr:to>
      <xdr:col>5</xdr:col>
      <xdr:colOff>438150</xdr:colOff>
      <xdr:row>23</xdr:row>
      <xdr:rowOff>0</xdr:rowOff>
    </xdr:to>
    <xdr:graphicFrame macro="">
      <xdr:nvGraphicFramePr>
        <xdr:cNvPr id="2" name="Chart 1">
          <a:extLst>
            <a:ext uri="{FF2B5EF4-FFF2-40B4-BE49-F238E27FC236}">
              <a16:creationId xmlns:a16="http://schemas.microsoft.com/office/drawing/2014/main" id="{1619E0F7-06D3-6CBE-9C61-2B6EC85F7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317500</xdr:colOff>
      <xdr:row>8</xdr:row>
      <xdr:rowOff>88901</xdr:rowOff>
    </xdr:from>
    <xdr:to>
      <xdr:col>9</xdr:col>
      <xdr:colOff>317499</xdr:colOff>
      <xdr:row>13</xdr:row>
      <xdr:rowOff>120651</xdr:rowOff>
    </xdr:to>
    <mc:AlternateContent xmlns:mc="http://schemas.openxmlformats.org/markup-compatibility/2006" xmlns:a14="http://schemas.microsoft.com/office/drawing/2010/main">
      <mc:Choice Requires="a14">
        <xdr:graphicFrame macro="">
          <xdr:nvGraphicFramePr>
            <xdr:cNvPr id="3" name="Health_Status">
              <a:extLst>
                <a:ext uri="{FF2B5EF4-FFF2-40B4-BE49-F238E27FC236}">
                  <a16:creationId xmlns:a16="http://schemas.microsoft.com/office/drawing/2014/main" id="{B8204932-DB25-0E30-CCB0-1F5D74A04BB6}"/>
                </a:ext>
              </a:extLst>
            </xdr:cNvPr>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mlns="">
        <xdr:sp macro="" textlink="">
          <xdr:nvSpPr>
            <xdr:cNvPr id="0" name=""/>
            <xdr:cNvSpPr>
              <a:spLocks noTextEdit="1"/>
            </xdr:cNvSpPr>
          </xdr:nvSpPr>
          <xdr:spPr>
            <a:xfrm>
              <a:off x="5151438" y="1549401"/>
              <a:ext cx="1833562" cy="944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698500</xdr:colOff>
      <xdr:row>2</xdr:row>
      <xdr:rowOff>171451</xdr:rowOff>
    </xdr:from>
    <xdr:to>
      <xdr:col>5</xdr:col>
      <xdr:colOff>50800</xdr:colOff>
      <xdr:row>12</xdr:row>
      <xdr:rowOff>57151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FB22C99-8A43-D174-74E5-263802B250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74950" y="539751"/>
              <a:ext cx="1828800" cy="172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377825</xdr:colOff>
      <xdr:row>2</xdr:row>
      <xdr:rowOff>38100</xdr:rowOff>
    </xdr:from>
    <xdr:to>
      <xdr:col>18</xdr:col>
      <xdr:colOff>815975</xdr:colOff>
      <xdr:row>17</xdr:row>
      <xdr:rowOff>19050</xdr:rowOff>
    </xdr:to>
    <xdr:graphicFrame macro="">
      <xdr:nvGraphicFramePr>
        <xdr:cNvPr id="2" name="Chart 1">
          <a:extLst>
            <a:ext uri="{FF2B5EF4-FFF2-40B4-BE49-F238E27FC236}">
              <a16:creationId xmlns:a16="http://schemas.microsoft.com/office/drawing/2014/main" id="{51F92726-4AF9-3673-CB00-8F403A667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434975</xdr:colOff>
      <xdr:row>3</xdr:row>
      <xdr:rowOff>107950</xdr:rowOff>
    </xdr:from>
    <xdr:to>
      <xdr:col>11</xdr:col>
      <xdr:colOff>130175</xdr:colOff>
      <xdr:row>18</xdr:row>
      <xdr:rowOff>88900</xdr:rowOff>
    </xdr:to>
    <xdr:graphicFrame macro="">
      <xdr:nvGraphicFramePr>
        <xdr:cNvPr id="2" name="Chart 1">
          <a:extLst>
            <a:ext uri="{FF2B5EF4-FFF2-40B4-BE49-F238E27FC236}">
              <a16:creationId xmlns:a16="http://schemas.microsoft.com/office/drawing/2014/main" id="{58965E4E-5841-2AF5-70DD-7F92B3A39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539750</xdr:colOff>
      <xdr:row>3</xdr:row>
      <xdr:rowOff>158751</xdr:rowOff>
    </xdr:from>
    <xdr:to>
      <xdr:col>14</xdr:col>
      <xdr:colOff>539750</xdr:colOff>
      <xdr:row>9</xdr:row>
      <xdr:rowOff>76201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C4F27D7-5814-61B7-169C-F8B94CA232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29700" y="711201"/>
              <a:ext cx="1828800" cy="102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196850</xdr:colOff>
      <xdr:row>0</xdr:row>
      <xdr:rowOff>82550</xdr:rowOff>
    </xdr:from>
    <xdr:to>
      <xdr:col>19</xdr:col>
      <xdr:colOff>261938</xdr:colOff>
      <xdr:row>44</xdr:row>
      <xdr:rowOff>71438</xdr:rowOff>
    </xdr:to>
    <xdr:sp macro="" textlink="">
      <xdr:nvSpPr>
        <xdr:cNvPr id="2" name="Rectangle: Rounded Corners 1">
          <a:extLst>
            <a:ext uri="{FF2B5EF4-FFF2-40B4-BE49-F238E27FC236}">
              <a16:creationId xmlns:a16="http://schemas.microsoft.com/office/drawing/2014/main" id="{BA0290CA-C9C9-2A07-1BAA-ACBD79C45AE6}"/>
            </a:ext>
          </a:extLst>
        </xdr:cNvPr>
        <xdr:cNvSpPr/>
      </xdr:nvSpPr>
      <xdr:spPr>
        <a:xfrm>
          <a:off x="196850" y="82550"/>
          <a:ext cx="11602244" cy="8370888"/>
        </a:xfrm>
        <a:prstGeom prst="roundRect">
          <a:avLst>
            <a:gd name="adj" fmla="val 4176"/>
          </a:avLst>
        </a:prstGeom>
        <a:solidFill>
          <a:schemeClr val="accent6">
            <a:lumMod val="75000"/>
          </a:schemeClr>
        </a:solidFill>
        <a:ln w="3175" cap="rnd">
          <a:solidFill>
            <a:schemeClr val="accent6">
              <a:lumMod val="50000"/>
            </a:schemeClr>
          </a:solidFill>
          <a:round/>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12700</xdr:colOff>
      <xdr:row>0</xdr:row>
      <xdr:rowOff>133350</xdr:rowOff>
    </xdr:from>
    <xdr:to>
      <xdr:col>18</xdr:col>
      <xdr:colOff>419100</xdr:colOff>
      <xdr:row>4</xdr:row>
      <xdr:rowOff>114300</xdr:rowOff>
    </xdr:to>
    <xdr:sp macro="" textlink="">
      <xdr:nvSpPr>
        <xdr:cNvPr id="3" name="Rectangle 2">
          <a:extLst>
            <a:ext uri="{FF2B5EF4-FFF2-40B4-BE49-F238E27FC236}">
              <a16:creationId xmlns:a16="http://schemas.microsoft.com/office/drawing/2014/main" id="{0621CD4C-1657-490F-E5FB-B1C884184089}"/>
            </a:ext>
          </a:extLst>
        </xdr:cNvPr>
        <xdr:cNvSpPr/>
      </xdr:nvSpPr>
      <xdr:spPr>
        <a:xfrm>
          <a:off x="2451100" y="133350"/>
          <a:ext cx="8940800" cy="717550"/>
        </a:xfrm>
        <a:prstGeom prst="rect">
          <a:avLst/>
        </a:prstGeom>
        <a:solidFill>
          <a:srgbClr val="8DDF1F"/>
        </a:solidFill>
        <a:ln>
          <a:solidFill>
            <a:schemeClr val="accent6">
              <a:lumMod val="5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3200" b="1"/>
            <a:t>Child Nutrition &amp; Growth Analysis</a:t>
          </a:r>
          <a:endParaRPr lang="en-IN" sz="1100" b="1"/>
        </a:p>
      </xdr:txBody>
    </xdr:sp>
    <xdr:clientData/>
  </xdr:twoCellAnchor>
  <xdr:twoCellAnchor>
    <xdr:from>
      <xdr:col>4</xdr:col>
      <xdr:colOff>25400</xdr:colOff>
      <xdr:row>9</xdr:row>
      <xdr:rowOff>165100</xdr:rowOff>
    </xdr:from>
    <xdr:to>
      <xdr:col>11</xdr:col>
      <xdr:colOff>114300</xdr:colOff>
      <xdr:row>24</xdr:row>
      <xdr:rowOff>122238</xdr:rowOff>
    </xdr:to>
    <xdr:graphicFrame macro="">
      <xdr:nvGraphicFramePr>
        <xdr:cNvPr id="4" name="Chart 3">
          <a:extLst>
            <a:ext uri="{FF2B5EF4-FFF2-40B4-BE49-F238E27FC236}">
              <a16:creationId xmlns:a16="http://schemas.microsoft.com/office/drawing/2014/main" id="{874024DD-B1FE-425F-AFDB-512CCBE32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412750</xdr:colOff>
      <xdr:row>9</xdr:row>
      <xdr:rowOff>146050</xdr:rowOff>
    </xdr:from>
    <xdr:to>
      <xdr:col>3</xdr:col>
      <xdr:colOff>508000</xdr:colOff>
      <xdr:row>41</xdr:row>
      <xdr:rowOff>114300</xdr:rowOff>
    </xdr:to>
    <xdr:sp macro="" textlink="">
      <xdr:nvSpPr>
        <xdr:cNvPr id="7" name="Rectangle 6">
          <a:extLst>
            <a:ext uri="{FF2B5EF4-FFF2-40B4-BE49-F238E27FC236}">
              <a16:creationId xmlns:a16="http://schemas.microsoft.com/office/drawing/2014/main" id="{99B29602-4272-BD49-88F1-212C9DC60E18}"/>
            </a:ext>
          </a:extLst>
        </xdr:cNvPr>
        <xdr:cNvSpPr/>
      </xdr:nvSpPr>
      <xdr:spPr>
        <a:xfrm>
          <a:off x="412750" y="1803400"/>
          <a:ext cx="1924050" cy="586105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457200</xdr:colOff>
      <xdr:row>19</xdr:row>
      <xdr:rowOff>165100</xdr:rowOff>
    </xdr:from>
    <xdr:to>
      <xdr:col>3</xdr:col>
      <xdr:colOff>461962</xdr:colOff>
      <xdr:row>27</xdr:row>
      <xdr:rowOff>165100</xdr:rowOff>
    </xdr:to>
    <mc:AlternateContent xmlns:mc="http://schemas.openxmlformats.org/markup-compatibility/2006" xmlns:a14="http://schemas.microsoft.com/office/drawing/2010/main">
      <mc:Choice Requires="a14">
        <xdr:graphicFrame macro="">
          <xdr:nvGraphicFramePr>
            <xdr:cNvPr id="8" name="Health_Status 1">
              <a:extLst>
                <a:ext uri="{FF2B5EF4-FFF2-40B4-BE49-F238E27FC236}">
                  <a16:creationId xmlns:a16="http://schemas.microsoft.com/office/drawing/2014/main" id="{32D710C2-37B5-4D16-9E3B-BF3251EDD5C0}"/>
                </a:ext>
              </a:extLst>
            </xdr:cNvPr>
            <xdr:cNvGraphicFramePr/>
          </xdr:nvGraphicFramePr>
          <xdr:xfrm>
            <a:off x="0" y="0"/>
            <a:ext cx="0" cy="0"/>
          </xdr:xfrm>
          <a:graphic>
            <a:graphicData uri="http://schemas.microsoft.com/office/drawing/2010/slicer">
              <sle:slicer xmlns:sle="http://schemas.microsoft.com/office/drawing/2010/slicer" name="Health_Status 1"/>
            </a:graphicData>
          </a:graphic>
        </xdr:graphicFrame>
      </mc:Choice>
      <mc:Fallback xmlns="">
        <xdr:sp macro="" textlink="">
          <xdr:nvSpPr>
            <xdr:cNvPr id="0" name=""/>
            <xdr:cNvSpPr>
              <a:spLocks noTextEdit="1"/>
            </xdr:cNvSpPr>
          </xdr:nvSpPr>
          <xdr:spPr>
            <a:xfrm>
              <a:off x="457200" y="3784600"/>
              <a:ext cx="1814512"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463550</xdr:colOff>
      <xdr:row>28</xdr:row>
      <xdr:rowOff>82550</xdr:rowOff>
    </xdr:from>
    <xdr:to>
      <xdr:col>3</xdr:col>
      <xdr:colOff>463550</xdr:colOff>
      <xdr:row>41</xdr:row>
      <xdr:rowOff>25400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94445D01-1C4E-4643-849F-B8B29FBA91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63550" y="5416550"/>
              <a:ext cx="1809750" cy="241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31750</xdr:colOff>
      <xdr:row>25</xdr:row>
      <xdr:rowOff>50800</xdr:rowOff>
    </xdr:from>
    <xdr:to>
      <xdr:col>18</xdr:col>
      <xdr:colOff>406400</xdr:colOff>
      <xdr:row>41</xdr:row>
      <xdr:rowOff>107950</xdr:rowOff>
    </xdr:to>
    <xdr:graphicFrame macro="">
      <xdr:nvGraphicFramePr>
        <xdr:cNvPr id="10" name="Chart 9">
          <a:extLst>
            <a:ext uri="{FF2B5EF4-FFF2-40B4-BE49-F238E27FC236}">
              <a16:creationId xmlns:a16="http://schemas.microsoft.com/office/drawing/2014/main" id="{9C11A835-2D4B-4155-96CA-8FFCF1A6A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209550</xdr:colOff>
      <xdr:row>9</xdr:row>
      <xdr:rowOff>171450</xdr:rowOff>
    </xdr:from>
    <xdr:to>
      <xdr:col>18</xdr:col>
      <xdr:colOff>406400</xdr:colOff>
      <xdr:row>24</xdr:row>
      <xdr:rowOff>127000</xdr:rowOff>
    </xdr:to>
    <xdr:graphicFrame macro="">
      <xdr:nvGraphicFramePr>
        <xdr:cNvPr id="11" name="Chart 10">
          <a:extLst>
            <a:ext uri="{FF2B5EF4-FFF2-40B4-BE49-F238E27FC236}">
              <a16:creationId xmlns:a16="http://schemas.microsoft.com/office/drawing/2014/main" id="{2CCE4EA9-11E9-44BC-B027-8C03394A9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31750</xdr:colOff>
      <xdr:row>5</xdr:row>
      <xdr:rowOff>25400</xdr:rowOff>
    </xdr:from>
    <xdr:to>
      <xdr:col>6</xdr:col>
      <xdr:colOff>514350</xdr:colOff>
      <xdr:row>9</xdr:row>
      <xdr:rowOff>82550</xdr:rowOff>
    </xdr:to>
    <xdr:sp macro="" textlink="">
      <xdr:nvSpPr>
        <xdr:cNvPr id="13" name="Rectangle: Rounded Corners 12">
          <a:extLst>
            <a:ext uri="{FF2B5EF4-FFF2-40B4-BE49-F238E27FC236}">
              <a16:creationId xmlns:a16="http://schemas.microsoft.com/office/drawing/2014/main" id="{A73428D8-44FB-75CE-E4F4-CC7C87C31A26}"/>
            </a:ext>
          </a:extLst>
        </xdr:cNvPr>
        <xdr:cNvSpPr/>
      </xdr:nvSpPr>
      <xdr:spPr>
        <a:xfrm>
          <a:off x="2470150" y="946150"/>
          <a:ext cx="1701800" cy="793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Avg</a:t>
          </a:r>
          <a:r>
            <a:rPr lang="en-IN" sz="1600" b="1" baseline="0">
              <a:solidFill>
                <a:schemeClr val="bg1"/>
              </a:solidFill>
            </a:rPr>
            <a:t> </a:t>
          </a:r>
          <a:r>
            <a:rPr lang="en-IN" sz="1600" b="1">
              <a:solidFill>
                <a:schemeClr val="bg1"/>
              </a:solidFill>
            </a:rPr>
            <a:t>BMI</a:t>
          </a:r>
        </a:p>
        <a:p>
          <a:pPr algn="ctr"/>
          <a:r>
            <a:rPr lang="en-IN" sz="1600" b="1">
              <a:solidFill>
                <a:schemeClr val="bg1"/>
              </a:solidFill>
            </a:rPr>
            <a:t>17.06</a:t>
          </a:r>
        </a:p>
      </xdr:txBody>
    </xdr:sp>
    <xdr:clientData/>
  </xdr:twoCellAnchor>
  <xdr:twoCellAnchor>
    <xdr:from>
      <xdr:col>7</xdr:col>
      <xdr:colOff>1588</xdr:colOff>
      <xdr:row>5</xdr:row>
      <xdr:rowOff>19050</xdr:rowOff>
    </xdr:from>
    <xdr:to>
      <xdr:col>9</xdr:col>
      <xdr:colOff>484188</xdr:colOff>
      <xdr:row>9</xdr:row>
      <xdr:rowOff>76200</xdr:rowOff>
    </xdr:to>
    <xdr:sp macro="" textlink="">
      <xdr:nvSpPr>
        <xdr:cNvPr id="14" name="Rectangle: Rounded Corners 13">
          <a:extLst>
            <a:ext uri="{FF2B5EF4-FFF2-40B4-BE49-F238E27FC236}">
              <a16:creationId xmlns:a16="http://schemas.microsoft.com/office/drawing/2014/main" id="{7013D0D4-C23E-4769-8994-8700752B5606}"/>
            </a:ext>
          </a:extLst>
        </xdr:cNvPr>
        <xdr:cNvSpPr/>
      </xdr:nvSpPr>
      <xdr:spPr>
        <a:xfrm>
          <a:off x="4268788" y="939800"/>
          <a:ext cx="1701800" cy="793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Avg Sugar Drinks</a:t>
          </a:r>
        </a:p>
        <a:p>
          <a:pPr algn="ctr"/>
          <a:r>
            <a:rPr lang="en-IN" sz="1600" b="1">
              <a:solidFill>
                <a:schemeClr val="bg1"/>
              </a:solidFill>
            </a:rPr>
            <a:t>1.37</a:t>
          </a:r>
        </a:p>
      </xdr:txBody>
    </xdr:sp>
    <xdr:clientData/>
  </xdr:twoCellAnchor>
  <xdr:twoCellAnchor>
    <xdr:from>
      <xdr:col>9</xdr:col>
      <xdr:colOff>581026</xdr:colOff>
      <xdr:row>5</xdr:row>
      <xdr:rowOff>6350</xdr:rowOff>
    </xdr:from>
    <xdr:to>
      <xdr:col>12</xdr:col>
      <xdr:colOff>454026</xdr:colOff>
      <xdr:row>9</xdr:row>
      <xdr:rowOff>63500</xdr:rowOff>
    </xdr:to>
    <xdr:sp macro="" textlink="">
      <xdr:nvSpPr>
        <xdr:cNvPr id="15" name="Rectangle: Rounded Corners 14">
          <a:extLst>
            <a:ext uri="{FF2B5EF4-FFF2-40B4-BE49-F238E27FC236}">
              <a16:creationId xmlns:a16="http://schemas.microsoft.com/office/drawing/2014/main" id="{D11BC150-F64D-4F35-B4FA-1E5B29931F4D}"/>
            </a:ext>
          </a:extLst>
        </xdr:cNvPr>
        <xdr:cNvSpPr/>
      </xdr:nvSpPr>
      <xdr:spPr>
        <a:xfrm>
          <a:off x="6067426" y="927100"/>
          <a:ext cx="1701800" cy="793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Avg Fruit Intake</a:t>
          </a:r>
        </a:p>
        <a:p>
          <a:pPr algn="ctr"/>
          <a:r>
            <a:rPr lang="en-IN" sz="1600" b="1">
              <a:solidFill>
                <a:schemeClr val="bg1"/>
              </a:solidFill>
            </a:rPr>
            <a:t>2.19</a:t>
          </a:r>
        </a:p>
      </xdr:txBody>
    </xdr:sp>
    <xdr:clientData/>
  </xdr:twoCellAnchor>
  <xdr:twoCellAnchor>
    <xdr:from>
      <xdr:col>12</xdr:col>
      <xdr:colOff>550864</xdr:colOff>
      <xdr:row>5</xdr:row>
      <xdr:rowOff>0</xdr:rowOff>
    </xdr:from>
    <xdr:to>
      <xdr:col>15</xdr:col>
      <xdr:colOff>423864</xdr:colOff>
      <xdr:row>9</xdr:row>
      <xdr:rowOff>57150</xdr:rowOff>
    </xdr:to>
    <xdr:sp macro="" textlink="">
      <xdr:nvSpPr>
        <xdr:cNvPr id="16" name="Rectangle: Rounded Corners 15">
          <a:extLst>
            <a:ext uri="{FF2B5EF4-FFF2-40B4-BE49-F238E27FC236}">
              <a16:creationId xmlns:a16="http://schemas.microsoft.com/office/drawing/2014/main" id="{7F334150-4083-4445-B3F5-265981F7E38F}"/>
            </a:ext>
          </a:extLst>
        </xdr:cNvPr>
        <xdr:cNvSpPr/>
      </xdr:nvSpPr>
      <xdr:spPr>
        <a:xfrm>
          <a:off x="7866064" y="920750"/>
          <a:ext cx="1701800" cy="793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Avg Veg Intake</a:t>
          </a:r>
        </a:p>
        <a:p>
          <a:pPr algn="ctr"/>
          <a:r>
            <a:rPr lang="en-IN" sz="1600" b="1">
              <a:solidFill>
                <a:schemeClr val="bg1"/>
              </a:solidFill>
            </a:rPr>
            <a:t>1.9</a:t>
          </a:r>
        </a:p>
      </xdr:txBody>
    </xdr:sp>
    <xdr:clientData/>
  </xdr:twoCellAnchor>
  <xdr:twoCellAnchor>
    <xdr:from>
      <xdr:col>15</xdr:col>
      <xdr:colOff>520700</xdr:colOff>
      <xdr:row>5</xdr:row>
      <xdr:rowOff>0</xdr:rowOff>
    </xdr:from>
    <xdr:to>
      <xdr:col>18</xdr:col>
      <xdr:colOff>393700</xdr:colOff>
      <xdr:row>9</xdr:row>
      <xdr:rowOff>57150</xdr:rowOff>
    </xdr:to>
    <xdr:sp macro="" textlink="">
      <xdr:nvSpPr>
        <xdr:cNvPr id="17" name="Rectangle: Rounded Corners 16">
          <a:extLst>
            <a:ext uri="{FF2B5EF4-FFF2-40B4-BE49-F238E27FC236}">
              <a16:creationId xmlns:a16="http://schemas.microsoft.com/office/drawing/2014/main" id="{AEC51801-06A6-4BD9-94F3-50CD54A5163B}"/>
            </a:ext>
          </a:extLst>
        </xdr:cNvPr>
        <xdr:cNvSpPr/>
      </xdr:nvSpPr>
      <xdr:spPr>
        <a:xfrm>
          <a:off x="9664700" y="920750"/>
          <a:ext cx="1701800" cy="793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Avg Screen Time</a:t>
          </a:r>
        </a:p>
        <a:p>
          <a:pPr algn="ctr"/>
          <a:r>
            <a:rPr lang="en-IN" sz="1600" b="1">
              <a:solidFill>
                <a:schemeClr val="bg1"/>
              </a:solidFill>
            </a:rPr>
            <a:t>1.39</a:t>
          </a:r>
        </a:p>
      </xdr:txBody>
    </xdr:sp>
    <xdr:clientData/>
  </xdr:twoCellAnchor>
  <xdr:twoCellAnchor editAs="oneCell">
    <xdr:from>
      <xdr:col>0</xdr:col>
      <xdr:colOff>450850</xdr:colOff>
      <xdr:row>10</xdr:row>
      <xdr:rowOff>19050</xdr:rowOff>
    </xdr:from>
    <xdr:to>
      <xdr:col>3</xdr:col>
      <xdr:colOff>463550</xdr:colOff>
      <xdr:row>19</xdr:row>
      <xdr:rowOff>107950</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FBAB87CC-317A-4E68-B498-5BF8551F30A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50850" y="1924050"/>
              <a:ext cx="1822450" cy="1803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196850</xdr:colOff>
      <xdr:row>0</xdr:row>
      <xdr:rowOff>82551</xdr:rowOff>
    </xdr:from>
    <xdr:to>
      <xdr:col>3</xdr:col>
      <xdr:colOff>452437</xdr:colOff>
      <xdr:row>9</xdr:row>
      <xdr:rowOff>119062</xdr:rowOff>
    </xdr:to>
    <xdr:pic>
      <xdr:nvPicPr>
        <xdr:cNvPr id="6" name="Picture 5">
          <a:extLst>
            <a:ext uri="{FF2B5EF4-FFF2-40B4-BE49-F238E27FC236}">
              <a16:creationId xmlns:a16="http://schemas.microsoft.com/office/drawing/2014/main" id="{9264437A-EFC3-C1E5-7419-C9B357C51B3D}"/>
            </a:ext>
          </a:extLst>
        </xdr:cNvPr>
        <xdr:cNvPicPr>
          <a:picLocks noChangeAspect="1"/>
        </xdr:cNvPicPr>
      </xdr:nvPicPr>
      <xdr:blipFill>
        <a:blip xmlns:r="http://schemas.openxmlformats.org/officeDocument/2006/relationships" r:embed="rId4"/>
        <a:stretch>
          <a:fillRect/>
        </a:stretch>
      </xdr:blipFill>
      <xdr:spPr>
        <a:xfrm>
          <a:off x="196850" y="82551"/>
          <a:ext cx="2077243" cy="175101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freshedDate="46099.711434259261" createdVersion="8" refreshedVersion="8" minRefreshableVersion="3" recordCount="100" xr:uid="{83C41141-21BC-4FAA-95E0-D7184733DBD3}">
  <cacheSource type="worksheet">
    <worksheetSource name="Kids_growth_analysis"/>
  </cacheSource>
  <cacheFields count="13">
    <cacheField name="Child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fieldGroup base="1">
        <rangePr autoStart="0" autoEnd="0" startNum="24" endNum="36" groupInterval="12"/>
        <groupItems count="3">
          <s v="&lt;24"/>
          <s v="24-36"/>
          <s v="&gt;36"/>
        </groupItems>
      </fieldGroup>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ount="4">
        <n v="3"/>
        <n v="1"/>
        <n v="2"/>
        <n v="0"/>
      </sharedItems>
    </cacheField>
    <cacheField name="ScreenTime_Hours" numFmtId="0">
      <sharedItems containsSemiMixedTypes="0" containsString="0" containsNumber="1" minValue="0.5" maxValue="3.8" count="27">
        <n v="1.2"/>
        <n v="1.4"/>
        <n v="0.6"/>
        <n v="1.5"/>
        <n v="0.9"/>
        <n v="2.8"/>
        <n v="1.3"/>
        <n v="0.8"/>
        <n v="1"/>
        <n v="1.6"/>
        <n v="2.1"/>
        <n v="3.1"/>
        <n v="2"/>
        <n v="1.9"/>
        <n v="2.9"/>
        <n v="2.2999999999999998"/>
        <n v="0.7"/>
        <n v="1.7"/>
        <n v="3.2"/>
        <n v="0.5"/>
        <n v="1.1000000000000001"/>
        <n v="2.6"/>
        <n v="1.8"/>
        <n v="2.2000000000000002"/>
        <n v="3.8"/>
        <n v="3"/>
        <n v="2.5"/>
      </sharedItems>
    </cacheField>
    <cacheField name="Region" numFmtId="0">
      <sharedItems count="5">
        <s v="South"/>
        <s v="Central"/>
        <s v="East"/>
        <s v="North"/>
        <s v="West"/>
      </sharedItems>
    </cacheField>
    <cacheField name="Age_Years" numFmtId="0">
      <sharedItems containsSemiMixedTypes="0" containsString="0" containsNumber="1" containsInteger="1" minValue="2" maxValue="5"/>
    </cacheField>
    <cacheField name="BMI" numFmtId="0">
      <sharedItems containsSemiMixedTypes="0" containsString="0" containsNumber="1" minValue="11.23198275256877" maxValue="21.36231277340449" count="100">
        <n v="15.90614369846883"/>
        <n v="16.512431120446177"/>
        <n v="19.185127564907393"/>
        <n v="19.75238446372795"/>
        <n v="14.992349216790304"/>
        <n v="18.189813900132215"/>
        <n v="17.67025840775398"/>
        <n v="18.553628408784363"/>
        <n v="19.589420799631078"/>
        <n v="14.337779767724934"/>
        <n v="14.572440546466519"/>
        <n v="17.950419185130364"/>
        <n v="16.401367255945466"/>
        <n v="17.108724180222072"/>
        <n v="17.652433135313405"/>
        <n v="17.059205462973896"/>
        <n v="19.92193117497148"/>
        <n v="15.801108000799067"/>
        <n v="17.264563375422682"/>
        <n v="16.056524938447225"/>
        <n v="16.423256883921791"/>
        <n v="17.610292772445963"/>
        <n v="18.053148301698982"/>
        <n v="13.082090287312587"/>
        <n v="16.548488389191526"/>
        <n v="16.821669829165565"/>
        <n v="18.912896252767929"/>
        <n v="11.23198275256877"/>
        <n v="15.637452318001349"/>
        <n v="19.466193791459283"/>
        <n v="18.203288786295403"/>
        <n v="13.618099737124188"/>
        <n v="17.26538862847617"/>
        <n v="15.304371025015923"/>
        <n v="16.411348608910586"/>
        <n v="18.706628300517327"/>
        <n v="12.742738810730817"/>
        <n v="19.026574134418222"/>
        <n v="15.839176320537135"/>
        <n v="17.927675301525785"/>
        <n v="16.069720480391116"/>
        <n v="19.727374806364303"/>
        <n v="16.889044889405064"/>
        <n v="16.309099267089127"/>
        <n v="15.058048908803379"/>
        <n v="17.740865378038603"/>
        <n v="17.89420860909388"/>
        <n v="16.27511447065158"/>
        <n v="13.708060833090812"/>
        <n v="14.190800401461026"/>
        <n v="15.864875656303504"/>
        <n v="17.104134635526798"/>
        <n v="19.570875087215928"/>
        <n v="17.983410512341237"/>
        <n v="13.744544356487417"/>
        <n v="18.166443980296357"/>
        <n v="16.765898919707524"/>
        <n v="17.912132789452027"/>
        <n v="20.023541521230683"/>
        <n v="19.067215363511657"/>
        <n v="18.462404679483562"/>
        <n v="20.630676133633052"/>
        <n v="18.26218788176115"/>
        <n v="15.930649869244029"/>
        <n v="18.041335784504604"/>
        <n v="19.775366471749727"/>
        <n v="17.188983711262917"/>
        <n v="14.092887263873765"/>
        <n v="20.483024296966988"/>
        <n v="12.656431304061822"/>
        <n v="16.692896572247317"/>
        <n v="18.903242860743426"/>
        <n v="20.656995702972939"/>
        <n v="19.59905418252098"/>
        <n v="18.130769749107163"/>
        <n v="15.500923261601326"/>
        <n v="15.886491841187462"/>
        <n v="16.920666215969256"/>
        <n v="21.36231277340449"/>
        <n v="17.699292730459444"/>
        <n v="14.273984861929826"/>
        <n v="17.876437608609475"/>
        <n v="14.159684100694896"/>
        <n v="13.817573013462967"/>
        <n v="15.645800657682841"/>
        <n v="16.43701290971967"/>
        <n v="21.147731176326783"/>
        <n v="14.983791760933824"/>
        <n v="15.877277353299789"/>
        <n v="18.29740792193558"/>
        <n v="16.445281479979926"/>
        <n v="19.611831543124822"/>
        <n v="18.033368785198682"/>
        <n v="16.500272071630885"/>
        <n v="16.47325214515973"/>
        <n v="18.541643890060385"/>
        <n v="16.446228448404973"/>
        <n v="17.054436677671966"/>
        <n v="15.264198789050129"/>
        <n v="18.664925428298883"/>
      </sharedItems>
    </cacheField>
    <cacheField name="Health_Status" numFmtId="0">
      <sharedItems count="2">
        <s v="Underweight"/>
        <s v="Healthyweight"/>
      </sharedItems>
    </cacheField>
  </cacheFields>
  <extLst>
    <ext xmlns:x14="http://schemas.microsoft.com/office/spreadsheetml/2009/9/main" uri="{725AE2AE-9491-48be-B2B4-4EB974FC3084}">
      <x14:pivotCacheDefinition pivotCacheId="89553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104.41"/>
    <n v="17.34"/>
    <x v="0"/>
    <x v="0"/>
    <x v="0"/>
    <x v="0"/>
    <x v="0"/>
    <n v="4"/>
    <x v="0"/>
    <x v="0"/>
  </r>
  <r>
    <x v="1"/>
    <x v="1"/>
    <x v="0"/>
    <n v="99.08"/>
    <n v="16.21"/>
    <x v="1"/>
    <x v="1"/>
    <x v="1"/>
    <x v="1"/>
    <x v="1"/>
    <n v="3"/>
    <x v="1"/>
    <x v="0"/>
  </r>
  <r>
    <x v="2"/>
    <x v="2"/>
    <x v="0"/>
    <n v="94.96"/>
    <n v="17.3"/>
    <x v="2"/>
    <x v="2"/>
    <x v="2"/>
    <x v="2"/>
    <x v="1"/>
    <n v="3"/>
    <x v="2"/>
    <x v="1"/>
  </r>
  <r>
    <x v="3"/>
    <x v="3"/>
    <x v="0"/>
    <n v="100.65"/>
    <n v="20.010000000000002"/>
    <x v="3"/>
    <x v="3"/>
    <x v="1"/>
    <x v="3"/>
    <x v="1"/>
    <n v="3"/>
    <x v="3"/>
    <x v="1"/>
  </r>
  <r>
    <x v="4"/>
    <x v="4"/>
    <x v="0"/>
    <n v="90.06"/>
    <n v="12.16"/>
    <x v="1"/>
    <x v="1"/>
    <x v="3"/>
    <x v="4"/>
    <x v="0"/>
    <n v="2"/>
    <x v="4"/>
    <x v="0"/>
  </r>
  <r>
    <x v="5"/>
    <x v="5"/>
    <x v="1"/>
    <n v="108.82"/>
    <n v="21.54"/>
    <x v="1"/>
    <x v="1"/>
    <x v="1"/>
    <x v="4"/>
    <x v="2"/>
    <n v="4"/>
    <x v="5"/>
    <x v="0"/>
  </r>
  <r>
    <x v="6"/>
    <x v="6"/>
    <x v="1"/>
    <n v="110.28"/>
    <n v="21.49"/>
    <x v="4"/>
    <x v="3"/>
    <x v="2"/>
    <x v="5"/>
    <x v="0"/>
    <n v="4"/>
    <x v="6"/>
    <x v="0"/>
  </r>
  <r>
    <x v="7"/>
    <x v="6"/>
    <x v="0"/>
    <n v="102.65"/>
    <n v="19.55"/>
    <x v="3"/>
    <x v="0"/>
    <x v="1"/>
    <x v="6"/>
    <x v="1"/>
    <n v="4"/>
    <x v="7"/>
    <x v="1"/>
  </r>
  <r>
    <x v="8"/>
    <x v="7"/>
    <x v="1"/>
    <n v="91.47"/>
    <n v="16.39"/>
    <x v="2"/>
    <x v="0"/>
    <x v="0"/>
    <x v="7"/>
    <x v="3"/>
    <n v="2"/>
    <x v="8"/>
    <x v="1"/>
  </r>
  <r>
    <x v="9"/>
    <x v="8"/>
    <x v="0"/>
    <n v="111.89"/>
    <n v="17.95"/>
    <x v="0"/>
    <x v="2"/>
    <x v="3"/>
    <x v="7"/>
    <x v="1"/>
    <n v="4"/>
    <x v="9"/>
    <x v="0"/>
  </r>
  <r>
    <x v="10"/>
    <x v="9"/>
    <x v="1"/>
    <n v="96.25"/>
    <n v="13.5"/>
    <x v="2"/>
    <x v="4"/>
    <x v="3"/>
    <x v="2"/>
    <x v="4"/>
    <n v="2"/>
    <x v="10"/>
    <x v="0"/>
  </r>
  <r>
    <x v="11"/>
    <x v="10"/>
    <x v="0"/>
    <n v="96.02"/>
    <n v="16.55"/>
    <x v="3"/>
    <x v="3"/>
    <x v="2"/>
    <x v="8"/>
    <x v="3"/>
    <n v="3"/>
    <x v="11"/>
    <x v="0"/>
  </r>
  <r>
    <x v="12"/>
    <x v="1"/>
    <x v="1"/>
    <n v="97.37"/>
    <n v="15.55"/>
    <x v="1"/>
    <x v="1"/>
    <x v="2"/>
    <x v="6"/>
    <x v="2"/>
    <n v="3"/>
    <x v="12"/>
    <x v="0"/>
  </r>
  <r>
    <x v="13"/>
    <x v="11"/>
    <x v="1"/>
    <n v="108.39"/>
    <n v="20.100000000000001"/>
    <x v="1"/>
    <x v="0"/>
    <x v="0"/>
    <x v="2"/>
    <x v="2"/>
    <n v="4"/>
    <x v="13"/>
    <x v="0"/>
  </r>
  <r>
    <x v="14"/>
    <x v="9"/>
    <x v="1"/>
    <n v="92.58"/>
    <n v="15.13"/>
    <x v="3"/>
    <x v="0"/>
    <x v="2"/>
    <x v="9"/>
    <x v="1"/>
    <n v="2"/>
    <x v="14"/>
    <x v="0"/>
  </r>
  <r>
    <x v="15"/>
    <x v="12"/>
    <x v="1"/>
    <n v="99.65"/>
    <n v="16.940000000000001"/>
    <x v="0"/>
    <x v="2"/>
    <x v="0"/>
    <x v="10"/>
    <x v="1"/>
    <n v="3"/>
    <x v="15"/>
    <x v="0"/>
  </r>
  <r>
    <x v="16"/>
    <x v="12"/>
    <x v="0"/>
    <n v="98.91"/>
    <n v="19.489999999999998"/>
    <x v="1"/>
    <x v="3"/>
    <x v="0"/>
    <x v="11"/>
    <x v="1"/>
    <n v="3"/>
    <x v="16"/>
    <x v="1"/>
  </r>
  <r>
    <x v="17"/>
    <x v="9"/>
    <x v="0"/>
    <n v="96.42"/>
    <n v="14.69"/>
    <x v="0"/>
    <x v="2"/>
    <x v="2"/>
    <x v="0"/>
    <x v="3"/>
    <n v="2"/>
    <x v="17"/>
    <x v="0"/>
  </r>
  <r>
    <x v="18"/>
    <x v="13"/>
    <x v="0"/>
    <n v="109.26"/>
    <n v="20.61"/>
    <x v="2"/>
    <x v="0"/>
    <x v="1"/>
    <x v="12"/>
    <x v="2"/>
    <n v="5"/>
    <x v="18"/>
    <x v="0"/>
  </r>
  <r>
    <x v="19"/>
    <x v="1"/>
    <x v="1"/>
    <n v="98.22"/>
    <n v="15.49"/>
    <x v="0"/>
    <x v="0"/>
    <x v="3"/>
    <x v="7"/>
    <x v="1"/>
    <n v="3"/>
    <x v="19"/>
    <x v="0"/>
  </r>
  <r>
    <x v="20"/>
    <x v="2"/>
    <x v="0"/>
    <n v="101.02"/>
    <n v="16.760000000000002"/>
    <x v="2"/>
    <x v="0"/>
    <x v="2"/>
    <x v="13"/>
    <x v="0"/>
    <n v="3"/>
    <x v="20"/>
    <x v="0"/>
  </r>
  <r>
    <x v="21"/>
    <x v="14"/>
    <x v="1"/>
    <n v="111.44"/>
    <n v="21.87"/>
    <x v="4"/>
    <x v="1"/>
    <x v="2"/>
    <x v="13"/>
    <x v="2"/>
    <n v="5"/>
    <x v="21"/>
    <x v="0"/>
  </r>
  <r>
    <x v="22"/>
    <x v="15"/>
    <x v="1"/>
    <n v="103.85"/>
    <n v="19.47"/>
    <x v="3"/>
    <x v="4"/>
    <x v="0"/>
    <x v="14"/>
    <x v="2"/>
    <n v="4"/>
    <x v="22"/>
    <x v="0"/>
  </r>
  <r>
    <x v="23"/>
    <x v="2"/>
    <x v="0"/>
    <n v="102.67"/>
    <n v="13.79"/>
    <x v="4"/>
    <x v="1"/>
    <x v="1"/>
    <x v="12"/>
    <x v="1"/>
    <n v="3"/>
    <x v="23"/>
    <x v="0"/>
  </r>
  <r>
    <x v="24"/>
    <x v="6"/>
    <x v="1"/>
    <n v="107.91"/>
    <n v="19.27"/>
    <x v="4"/>
    <x v="3"/>
    <x v="3"/>
    <x v="7"/>
    <x v="2"/>
    <n v="4"/>
    <x v="24"/>
    <x v="0"/>
  </r>
  <r>
    <x v="25"/>
    <x v="16"/>
    <x v="0"/>
    <n v="96.67"/>
    <n v="15.72"/>
    <x v="2"/>
    <x v="1"/>
    <x v="2"/>
    <x v="0"/>
    <x v="3"/>
    <n v="2"/>
    <x v="25"/>
    <x v="0"/>
  </r>
  <r>
    <x v="26"/>
    <x v="2"/>
    <x v="1"/>
    <n v="101.41"/>
    <n v="19.45"/>
    <x v="1"/>
    <x v="4"/>
    <x v="2"/>
    <x v="13"/>
    <x v="0"/>
    <n v="3"/>
    <x v="26"/>
    <x v="1"/>
  </r>
  <r>
    <x v="27"/>
    <x v="10"/>
    <x v="0"/>
    <n v="102.28"/>
    <n v="11.75"/>
    <x v="3"/>
    <x v="1"/>
    <x v="1"/>
    <x v="6"/>
    <x v="2"/>
    <n v="3"/>
    <x v="27"/>
    <x v="0"/>
  </r>
  <r>
    <x v="28"/>
    <x v="15"/>
    <x v="1"/>
    <n v="105.06"/>
    <n v="17.260000000000002"/>
    <x v="4"/>
    <x v="1"/>
    <x v="2"/>
    <x v="7"/>
    <x v="1"/>
    <n v="4"/>
    <x v="28"/>
    <x v="0"/>
  </r>
  <r>
    <x v="29"/>
    <x v="17"/>
    <x v="1"/>
    <n v="103.22"/>
    <n v="20.74"/>
    <x v="3"/>
    <x v="0"/>
    <x v="0"/>
    <x v="10"/>
    <x v="0"/>
    <n v="4"/>
    <x v="29"/>
    <x v="1"/>
  </r>
  <r>
    <x v="30"/>
    <x v="15"/>
    <x v="0"/>
    <n v="105.42"/>
    <n v="20.23"/>
    <x v="4"/>
    <x v="3"/>
    <x v="2"/>
    <x v="15"/>
    <x v="4"/>
    <n v="4"/>
    <x v="30"/>
    <x v="0"/>
  </r>
  <r>
    <x v="31"/>
    <x v="10"/>
    <x v="1"/>
    <n v="97.29"/>
    <n v="12.89"/>
    <x v="4"/>
    <x v="0"/>
    <x v="2"/>
    <x v="6"/>
    <x v="1"/>
    <n v="3"/>
    <x v="31"/>
    <x v="0"/>
  </r>
  <r>
    <x v="32"/>
    <x v="15"/>
    <x v="1"/>
    <n v="106.22"/>
    <n v="19.48"/>
    <x v="4"/>
    <x v="2"/>
    <x v="3"/>
    <x v="16"/>
    <x v="0"/>
    <n v="4"/>
    <x v="32"/>
    <x v="0"/>
  </r>
  <r>
    <x v="33"/>
    <x v="14"/>
    <x v="0"/>
    <n v="114.63"/>
    <n v="20.11"/>
    <x v="3"/>
    <x v="1"/>
    <x v="3"/>
    <x v="7"/>
    <x v="4"/>
    <n v="5"/>
    <x v="33"/>
    <x v="0"/>
  </r>
  <r>
    <x v="34"/>
    <x v="16"/>
    <x v="0"/>
    <n v="93.15"/>
    <n v="14.24"/>
    <x v="0"/>
    <x v="1"/>
    <x v="2"/>
    <x v="6"/>
    <x v="1"/>
    <n v="2"/>
    <x v="34"/>
    <x v="0"/>
  </r>
  <r>
    <x v="35"/>
    <x v="8"/>
    <x v="0"/>
    <n v="102.36"/>
    <n v="19.600000000000001"/>
    <x v="0"/>
    <x v="0"/>
    <x v="3"/>
    <x v="4"/>
    <x v="4"/>
    <n v="4"/>
    <x v="35"/>
    <x v="1"/>
  </r>
  <r>
    <x v="36"/>
    <x v="17"/>
    <x v="0"/>
    <n v="105.34"/>
    <n v="14.14"/>
    <x v="4"/>
    <x v="2"/>
    <x v="3"/>
    <x v="7"/>
    <x v="2"/>
    <n v="4"/>
    <x v="36"/>
    <x v="0"/>
  </r>
  <r>
    <x v="37"/>
    <x v="18"/>
    <x v="0"/>
    <n v="96.26"/>
    <n v="17.63"/>
    <x v="2"/>
    <x v="2"/>
    <x v="2"/>
    <x v="17"/>
    <x v="2"/>
    <n v="3"/>
    <x v="37"/>
    <x v="1"/>
  </r>
  <r>
    <x v="38"/>
    <x v="7"/>
    <x v="1"/>
    <n v="97.25"/>
    <n v="14.98"/>
    <x v="2"/>
    <x v="4"/>
    <x v="0"/>
    <x v="18"/>
    <x v="1"/>
    <n v="2"/>
    <x v="38"/>
    <x v="0"/>
  </r>
  <r>
    <x v="39"/>
    <x v="19"/>
    <x v="1"/>
    <n v="108.23"/>
    <n v="21"/>
    <x v="2"/>
    <x v="4"/>
    <x v="3"/>
    <x v="2"/>
    <x v="1"/>
    <n v="4"/>
    <x v="39"/>
    <x v="0"/>
  </r>
  <r>
    <x v="40"/>
    <x v="20"/>
    <x v="1"/>
    <n v="97"/>
    <n v="15.12"/>
    <x v="4"/>
    <x v="3"/>
    <x v="1"/>
    <x v="17"/>
    <x v="3"/>
    <n v="2"/>
    <x v="40"/>
    <x v="0"/>
  </r>
  <r>
    <x v="41"/>
    <x v="21"/>
    <x v="1"/>
    <n v="107.27"/>
    <n v="22.7"/>
    <x v="4"/>
    <x v="3"/>
    <x v="3"/>
    <x v="7"/>
    <x v="0"/>
    <n v="4"/>
    <x v="41"/>
    <x v="1"/>
  </r>
  <r>
    <x v="42"/>
    <x v="22"/>
    <x v="1"/>
    <n v="112.46"/>
    <n v="21.36"/>
    <x v="3"/>
    <x v="3"/>
    <x v="1"/>
    <x v="8"/>
    <x v="1"/>
    <n v="4"/>
    <x v="42"/>
    <x v="0"/>
  </r>
  <r>
    <x v="43"/>
    <x v="23"/>
    <x v="1"/>
    <n v="103.32"/>
    <n v="17.41"/>
    <x v="0"/>
    <x v="3"/>
    <x v="2"/>
    <x v="12"/>
    <x v="2"/>
    <n v="3"/>
    <x v="43"/>
    <x v="0"/>
  </r>
  <r>
    <x v="44"/>
    <x v="6"/>
    <x v="0"/>
    <n v="107.31"/>
    <n v="17.34"/>
    <x v="0"/>
    <x v="2"/>
    <x v="3"/>
    <x v="19"/>
    <x v="3"/>
    <n v="4"/>
    <x v="44"/>
    <x v="0"/>
  </r>
  <r>
    <x v="45"/>
    <x v="1"/>
    <x v="1"/>
    <n v="99.12"/>
    <n v="17.43"/>
    <x v="2"/>
    <x v="4"/>
    <x v="0"/>
    <x v="9"/>
    <x v="0"/>
    <n v="3"/>
    <x v="45"/>
    <x v="0"/>
  </r>
  <r>
    <x v="46"/>
    <x v="20"/>
    <x v="1"/>
    <n v="93.16"/>
    <n v="15.53"/>
    <x v="3"/>
    <x v="0"/>
    <x v="3"/>
    <x v="7"/>
    <x v="1"/>
    <n v="2"/>
    <x v="46"/>
    <x v="0"/>
  </r>
  <r>
    <x v="47"/>
    <x v="24"/>
    <x v="1"/>
    <n v="111.49"/>
    <n v="20.23"/>
    <x v="0"/>
    <x v="3"/>
    <x v="1"/>
    <x v="9"/>
    <x v="3"/>
    <n v="5"/>
    <x v="47"/>
    <x v="0"/>
  </r>
  <r>
    <x v="48"/>
    <x v="25"/>
    <x v="0"/>
    <n v="108.71"/>
    <n v="16.2"/>
    <x v="3"/>
    <x v="1"/>
    <x v="0"/>
    <x v="20"/>
    <x v="3"/>
    <n v="4"/>
    <x v="48"/>
    <x v="0"/>
  </r>
  <r>
    <x v="49"/>
    <x v="26"/>
    <x v="0"/>
    <n v="97.21"/>
    <n v="13.41"/>
    <x v="4"/>
    <x v="2"/>
    <x v="1"/>
    <x v="4"/>
    <x v="1"/>
    <n v="3"/>
    <x v="49"/>
    <x v="0"/>
  </r>
  <r>
    <x v="50"/>
    <x v="1"/>
    <x v="0"/>
    <n v="98.46"/>
    <n v="15.38"/>
    <x v="2"/>
    <x v="0"/>
    <x v="2"/>
    <x v="0"/>
    <x v="0"/>
    <n v="3"/>
    <x v="50"/>
    <x v="0"/>
  </r>
  <r>
    <x v="51"/>
    <x v="23"/>
    <x v="0"/>
    <n v="100.6"/>
    <n v="17.309999999999999"/>
    <x v="1"/>
    <x v="2"/>
    <x v="3"/>
    <x v="2"/>
    <x v="4"/>
    <n v="3"/>
    <x v="51"/>
    <x v="0"/>
  </r>
  <r>
    <x v="52"/>
    <x v="3"/>
    <x v="0"/>
    <n v="96.54"/>
    <n v="18.239999999999998"/>
    <x v="4"/>
    <x v="2"/>
    <x v="1"/>
    <x v="13"/>
    <x v="4"/>
    <n v="3"/>
    <x v="52"/>
    <x v="1"/>
  </r>
  <r>
    <x v="53"/>
    <x v="13"/>
    <x v="1"/>
    <n v="110.58"/>
    <n v="21.99"/>
    <x v="2"/>
    <x v="3"/>
    <x v="3"/>
    <x v="4"/>
    <x v="0"/>
    <n v="5"/>
    <x v="53"/>
    <x v="0"/>
  </r>
  <r>
    <x v="54"/>
    <x v="27"/>
    <x v="0"/>
    <n v="114.47"/>
    <n v="18.010000000000002"/>
    <x v="0"/>
    <x v="2"/>
    <x v="3"/>
    <x v="2"/>
    <x v="3"/>
    <n v="4"/>
    <x v="54"/>
    <x v="0"/>
  </r>
  <r>
    <x v="55"/>
    <x v="18"/>
    <x v="0"/>
    <n v="96.28"/>
    <n v="16.84"/>
    <x v="4"/>
    <x v="0"/>
    <x v="0"/>
    <x v="19"/>
    <x v="2"/>
    <n v="3"/>
    <x v="55"/>
    <x v="0"/>
  </r>
  <r>
    <x v="56"/>
    <x v="8"/>
    <x v="0"/>
    <n v="104.76"/>
    <n v="18.399999999999999"/>
    <x v="4"/>
    <x v="0"/>
    <x v="1"/>
    <x v="16"/>
    <x v="0"/>
    <n v="4"/>
    <x v="56"/>
    <x v="0"/>
  </r>
  <r>
    <x v="57"/>
    <x v="25"/>
    <x v="1"/>
    <n v="105.35"/>
    <n v="19.88"/>
    <x v="0"/>
    <x v="0"/>
    <x v="2"/>
    <x v="5"/>
    <x v="2"/>
    <n v="4"/>
    <x v="57"/>
    <x v="0"/>
  </r>
  <r>
    <x v="58"/>
    <x v="28"/>
    <x v="1"/>
    <n v="110.75"/>
    <n v="24.56"/>
    <x v="4"/>
    <x v="4"/>
    <x v="1"/>
    <x v="17"/>
    <x v="0"/>
    <n v="5"/>
    <x v="58"/>
    <x v="1"/>
  </r>
  <r>
    <x v="59"/>
    <x v="14"/>
    <x v="1"/>
    <n v="108"/>
    <n v="22.24"/>
    <x v="3"/>
    <x v="4"/>
    <x v="2"/>
    <x v="20"/>
    <x v="1"/>
    <n v="5"/>
    <x v="59"/>
    <x v="1"/>
  </r>
  <r>
    <x v="60"/>
    <x v="10"/>
    <x v="0"/>
    <n v="98.63"/>
    <n v="17.96"/>
    <x v="1"/>
    <x v="3"/>
    <x v="2"/>
    <x v="21"/>
    <x v="3"/>
    <n v="3"/>
    <x v="60"/>
    <x v="0"/>
  </r>
  <r>
    <x v="61"/>
    <x v="0"/>
    <x v="0"/>
    <n v="103.57"/>
    <n v="22.13"/>
    <x v="2"/>
    <x v="0"/>
    <x v="3"/>
    <x v="2"/>
    <x v="0"/>
    <n v="4"/>
    <x v="61"/>
    <x v="1"/>
  </r>
  <r>
    <x v="62"/>
    <x v="7"/>
    <x v="1"/>
    <n v="92.72"/>
    <n v="15.7"/>
    <x v="4"/>
    <x v="3"/>
    <x v="1"/>
    <x v="19"/>
    <x v="3"/>
    <n v="2"/>
    <x v="62"/>
    <x v="0"/>
  </r>
  <r>
    <x v="63"/>
    <x v="14"/>
    <x v="1"/>
    <n v="113.3"/>
    <n v="20.45"/>
    <x v="3"/>
    <x v="0"/>
    <x v="2"/>
    <x v="19"/>
    <x v="4"/>
    <n v="5"/>
    <x v="63"/>
    <x v="0"/>
  </r>
  <r>
    <x v="64"/>
    <x v="12"/>
    <x v="1"/>
    <n v="104.84"/>
    <n v="19.829999999999998"/>
    <x v="4"/>
    <x v="3"/>
    <x v="3"/>
    <x v="7"/>
    <x v="3"/>
    <n v="3"/>
    <x v="64"/>
    <x v="0"/>
  </r>
  <r>
    <x v="65"/>
    <x v="27"/>
    <x v="0"/>
    <n v="104.56"/>
    <n v="21.62"/>
    <x v="4"/>
    <x v="1"/>
    <x v="1"/>
    <x v="12"/>
    <x v="0"/>
    <n v="4"/>
    <x v="65"/>
    <x v="1"/>
  </r>
  <r>
    <x v="66"/>
    <x v="20"/>
    <x v="1"/>
    <n v="97.32"/>
    <n v="16.28"/>
    <x v="3"/>
    <x v="4"/>
    <x v="3"/>
    <x v="7"/>
    <x v="0"/>
    <n v="2"/>
    <x v="66"/>
    <x v="0"/>
  </r>
  <r>
    <x v="67"/>
    <x v="10"/>
    <x v="0"/>
    <n v="103.58"/>
    <n v="15.12"/>
    <x v="4"/>
    <x v="3"/>
    <x v="2"/>
    <x v="22"/>
    <x v="2"/>
    <n v="3"/>
    <x v="67"/>
    <x v="0"/>
  </r>
  <r>
    <x v="68"/>
    <x v="29"/>
    <x v="1"/>
    <n v="105.92"/>
    <n v="22.98"/>
    <x v="3"/>
    <x v="3"/>
    <x v="3"/>
    <x v="7"/>
    <x v="4"/>
    <n v="4"/>
    <x v="68"/>
    <x v="1"/>
  </r>
  <r>
    <x v="69"/>
    <x v="30"/>
    <x v="1"/>
    <n v="104.76"/>
    <n v="13.89"/>
    <x v="2"/>
    <x v="4"/>
    <x v="3"/>
    <x v="19"/>
    <x v="2"/>
    <n v="3"/>
    <x v="69"/>
    <x v="0"/>
  </r>
  <r>
    <x v="70"/>
    <x v="11"/>
    <x v="1"/>
    <n v="108.22"/>
    <n v="19.55"/>
    <x v="0"/>
    <x v="1"/>
    <x v="2"/>
    <x v="9"/>
    <x v="2"/>
    <n v="4"/>
    <x v="70"/>
    <x v="0"/>
  </r>
  <r>
    <x v="71"/>
    <x v="10"/>
    <x v="0"/>
    <n v="97.69"/>
    <n v="18.04"/>
    <x v="2"/>
    <x v="0"/>
    <x v="2"/>
    <x v="23"/>
    <x v="0"/>
    <n v="3"/>
    <x v="71"/>
    <x v="1"/>
  </r>
  <r>
    <x v="72"/>
    <x v="6"/>
    <x v="0"/>
    <n v="104.99"/>
    <n v="22.77"/>
    <x v="2"/>
    <x v="0"/>
    <x v="1"/>
    <x v="20"/>
    <x v="1"/>
    <n v="4"/>
    <x v="72"/>
    <x v="1"/>
  </r>
  <r>
    <x v="73"/>
    <x v="9"/>
    <x v="1"/>
    <n v="88.93"/>
    <n v="15.5"/>
    <x v="2"/>
    <x v="3"/>
    <x v="0"/>
    <x v="24"/>
    <x v="1"/>
    <n v="2"/>
    <x v="73"/>
    <x v="1"/>
  </r>
  <r>
    <x v="74"/>
    <x v="31"/>
    <x v="0"/>
    <n v="105.5"/>
    <n v="20.18"/>
    <x v="0"/>
    <x v="4"/>
    <x v="0"/>
    <x v="13"/>
    <x v="3"/>
    <n v="3"/>
    <x v="74"/>
    <x v="0"/>
  </r>
  <r>
    <x v="75"/>
    <x v="12"/>
    <x v="1"/>
    <n v="101.47"/>
    <n v="15.96"/>
    <x v="0"/>
    <x v="1"/>
    <x v="3"/>
    <x v="7"/>
    <x v="0"/>
    <n v="3"/>
    <x v="75"/>
    <x v="0"/>
  </r>
  <r>
    <x v="76"/>
    <x v="15"/>
    <x v="1"/>
    <n v="103.84"/>
    <n v="17.13"/>
    <x v="1"/>
    <x v="4"/>
    <x v="1"/>
    <x v="16"/>
    <x v="2"/>
    <n v="4"/>
    <x v="76"/>
    <x v="0"/>
  </r>
  <r>
    <x v="77"/>
    <x v="21"/>
    <x v="1"/>
    <n v="103.74"/>
    <n v="18.21"/>
    <x v="0"/>
    <x v="2"/>
    <x v="3"/>
    <x v="19"/>
    <x v="2"/>
    <n v="4"/>
    <x v="77"/>
    <x v="0"/>
  </r>
  <r>
    <x v="78"/>
    <x v="19"/>
    <x v="1"/>
    <n v="101.32"/>
    <n v="21.93"/>
    <x v="4"/>
    <x v="0"/>
    <x v="2"/>
    <x v="5"/>
    <x v="1"/>
    <n v="4"/>
    <x v="78"/>
    <x v="1"/>
  </r>
  <r>
    <x v="79"/>
    <x v="22"/>
    <x v="0"/>
    <n v="109.83"/>
    <n v="21.35"/>
    <x v="2"/>
    <x v="0"/>
    <x v="1"/>
    <x v="16"/>
    <x v="3"/>
    <n v="4"/>
    <x v="79"/>
    <x v="0"/>
  </r>
  <r>
    <x v="80"/>
    <x v="11"/>
    <x v="1"/>
    <n v="112.98"/>
    <n v="18.22"/>
    <x v="2"/>
    <x v="1"/>
    <x v="1"/>
    <x v="17"/>
    <x v="0"/>
    <n v="4"/>
    <x v="80"/>
    <x v="0"/>
  </r>
  <r>
    <x v="81"/>
    <x v="21"/>
    <x v="0"/>
    <n v="104.87"/>
    <n v="19.66"/>
    <x v="0"/>
    <x v="4"/>
    <x v="2"/>
    <x v="20"/>
    <x v="4"/>
    <n v="4"/>
    <x v="81"/>
    <x v="0"/>
  </r>
  <r>
    <x v="82"/>
    <x v="16"/>
    <x v="1"/>
    <n v="100.81"/>
    <n v="14.39"/>
    <x v="3"/>
    <x v="4"/>
    <x v="2"/>
    <x v="21"/>
    <x v="0"/>
    <n v="2"/>
    <x v="82"/>
    <x v="0"/>
  </r>
  <r>
    <x v="83"/>
    <x v="32"/>
    <x v="0"/>
    <n v="101.16"/>
    <n v="14.14"/>
    <x v="3"/>
    <x v="0"/>
    <x v="0"/>
    <x v="6"/>
    <x v="0"/>
    <n v="2"/>
    <x v="83"/>
    <x v="0"/>
  </r>
  <r>
    <x v="84"/>
    <x v="13"/>
    <x v="0"/>
    <n v="115.19"/>
    <n v="20.76"/>
    <x v="0"/>
    <x v="4"/>
    <x v="3"/>
    <x v="8"/>
    <x v="0"/>
    <n v="5"/>
    <x v="84"/>
    <x v="0"/>
  </r>
  <r>
    <x v="85"/>
    <x v="14"/>
    <x v="1"/>
    <n v="110.72"/>
    <n v="20.149999999999999"/>
    <x v="1"/>
    <x v="1"/>
    <x v="1"/>
    <x v="12"/>
    <x v="4"/>
    <n v="5"/>
    <x v="85"/>
    <x v="0"/>
  </r>
  <r>
    <x v="86"/>
    <x v="14"/>
    <x v="0"/>
    <n v="106.73"/>
    <n v="24.09"/>
    <x v="1"/>
    <x v="1"/>
    <x v="0"/>
    <x v="17"/>
    <x v="4"/>
    <n v="5"/>
    <x v="86"/>
    <x v="1"/>
  </r>
  <r>
    <x v="87"/>
    <x v="9"/>
    <x v="0"/>
    <n v="99.72"/>
    <n v="14.9"/>
    <x v="4"/>
    <x v="0"/>
    <x v="0"/>
    <x v="23"/>
    <x v="1"/>
    <n v="2"/>
    <x v="87"/>
    <x v="0"/>
  </r>
  <r>
    <x v="88"/>
    <x v="16"/>
    <x v="0"/>
    <n v="96.45"/>
    <n v="14.77"/>
    <x v="4"/>
    <x v="0"/>
    <x v="3"/>
    <x v="2"/>
    <x v="3"/>
    <n v="2"/>
    <x v="88"/>
    <x v="0"/>
  </r>
  <r>
    <x v="89"/>
    <x v="29"/>
    <x v="1"/>
    <n v="106.44"/>
    <n v="20.73"/>
    <x v="4"/>
    <x v="2"/>
    <x v="2"/>
    <x v="12"/>
    <x v="0"/>
    <n v="4"/>
    <x v="89"/>
    <x v="0"/>
  </r>
  <r>
    <x v="90"/>
    <x v="32"/>
    <x v="0"/>
    <n v="97.77"/>
    <n v="15.72"/>
    <x v="3"/>
    <x v="3"/>
    <x v="3"/>
    <x v="4"/>
    <x v="0"/>
    <n v="2"/>
    <x v="90"/>
    <x v="0"/>
  </r>
  <r>
    <x v="91"/>
    <x v="33"/>
    <x v="1"/>
    <n v="113.49"/>
    <n v="25.26"/>
    <x v="1"/>
    <x v="4"/>
    <x v="0"/>
    <x v="25"/>
    <x v="4"/>
    <n v="5"/>
    <x v="91"/>
    <x v="1"/>
  </r>
  <r>
    <x v="92"/>
    <x v="4"/>
    <x v="1"/>
    <n v="92.08"/>
    <n v="15.29"/>
    <x v="4"/>
    <x v="1"/>
    <x v="2"/>
    <x v="21"/>
    <x v="2"/>
    <n v="2"/>
    <x v="92"/>
    <x v="0"/>
  </r>
  <r>
    <x v="93"/>
    <x v="9"/>
    <x v="0"/>
    <n v="96.42"/>
    <n v="15.34"/>
    <x v="4"/>
    <x v="2"/>
    <x v="2"/>
    <x v="4"/>
    <x v="2"/>
    <n v="2"/>
    <x v="93"/>
    <x v="0"/>
  </r>
  <r>
    <x v="94"/>
    <x v="28"/>
    <x v="0"/>
    <n v="108.1"/>
    <n v="19.25"/>
    <x v="0"/>
    <x v="3"/>
    <x v="1"/>
    <x v="8"/>
    <x v="0"/>
    <n v="5"/>
    <x v="94"/>
    <x v="0"/>
  </r>
  <r>
    <x v="95"/>
    <x v="27"/>
    <x v="0"/>
    <n v="109.15"/>
    <n v="22.09"/>
    <x v="0"/>
    <x v="4"/>
    <x v="3"/>
    <x v="2"/>
    <x v="1"/>
    <n v="4"/>
    <x v="95"/>
    <x v="1"/>
  </r>
  <r>
    <x v="96"/>
    <x v="19"/>
    <x v="1"/>
    <n v="107.71"/>
    <n v="19.079999999999998"/>
    <x v="1"/>
    <x v="0"/>
    <x v="2"/>
    <x v="22"/>
    <x v="2"/>
    <n v="4"/>
    <x v="96"/>
    <x v="0"/>
  </r>
  <r>
    <x v="97"/>
    <x v="13"/>
    <x v="1"/>
    <n v="112.41"/>
    <n v="21.55"/>
    <x v="3"/>
    <x v="4"/>
    <x v="3"/>
    <x v="4"/>
    <x v="0"/>
    <n v="5"/>
    <x v="97"/>
    <x v="0"/>
  </r>
  <r>
    <x v="98"/>
    <x v="21"/>
    <x v="1"/>
    <n v="110.12"/>
    <n v="18.510000000000002"/>
    <x v="1"/>
    <x v="0"/>
    <x v="3"/>
    <x v="4"/>
    <x v="3"/>
    <n v="4"/>
    <x v="98"/>
    <x v="0"/>
  </r>
  <r>
    <x v="99"/>
    <x v="11"/>
    <x v="1"/>
    <n v="106.6"/>
    <n v="21.21"/>
    <x v="1"/>
    <x v="3"/>
    <x v="2"/>
    <x v="26"/>
    <x v="3"/>
    <n v="4"/>
    <x v="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27FC7D-588D-40F0-8C0A-561FD3BA4DE7}"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_Months" colHeaderCaption="Health_status">
  <location ref="A3:D7" firstHeaderRow="1" firstDataRow="2" firstDataCol="1"/>
  <pivotFields count="1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4">
        <item x="0"/>
        <item x="1"/>
        <item x="2"/>
        <item t="default"/>
      </items>
    </pivotField>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showAll="0"/>
    <pivotField showAll="0"/>
    <pivotField axis="axisCol" showAll="0">
      <items count="3">
        <item x="1"/>
        <item x="0"/>
        <item t="default"/>
      </items>
    </pivotField>
  </pivotFields>
  <rowFields count="1">
    <field x="1"/>
  </rowFields>
  <rowItems count="3">
    <i>
      <x v="1"/>
    </i>
    <i>
      <x v="2"/>
    </i>
    <i t="grand">
      <x/>
    </i>
  </rowItems>
  <colFields count="1">
    <field x="12"/>
  </colFields>
  <colItems count="3">
    <i>
      <x/>
    </i>
    <i>
      <x v="1"/>
    </i>
    <i t="grand">
      <x/>
    </i>
  </colItems>
  <dataFields count="1">
    <dataField name="Count of ChildID" fld="0"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510C25-EA6E-4525-A8AA-8E2E7F94B180}" name="Pivo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utrient Intake">
  <location ref="A3:B33" firstHeaderRow="1" firstDataRow="1" firstDataCol="1"/>
  <pivotFields count="13">
    <pivotField showAll="0"/>
    <pivotField showAll="0"/>
    <pivotField showAll="0">
      <items count="3">
        <item x="0"/>
        <item x="1"/>
        <item t="default"/>
      </items>
    </pivotField>
    <pivotField showAll="0"/>
    <pivotField showAll="0"/>
    <pivotField axis="axisRow" showAll="0">
      <items count="6">
        <item x="1"/>
        <item x="0"/>
        <item x="3"/>
        <item x="2"/>
        <item x="4"/>
        <item t="default"/>
      </items>
    </pivotField>
    <pivotField axis="axisRow" showAll="0">
      <items count="6">
        <item x="3"/>
        <item x="1"/>
        <item x="0"/>
        <item x="2"/>
        <item x="4"/>
        <item t="default"/>
      </items>
    </pivotField>
    <pivotField showAll="0"/>
    <pivotField showAll="0"/>
    <pivotField showAll="0">
      <items count="6">
        <item x="1"/>
        <item x="2"/>
        <item x="3"/>
        <item x="0"/>
        <item x="4"/>
        <item t="default"/>
      </items>
    </pivotField>
    <pivotField showAll="0"/>
    <pivotField dataField="1" showAll="0" avgSubtotal="1">
      <items count="101">
        <item x="27"/>
        <item x="69"/>
        <item x="36"/>
        <item x="23"/>
        <item x="31"/>
        <item x="48"/>
        <item x="54"/>
        <item x="83"/>
        <item x="67"/>
        <item x="82"/>
        <item x="49"/>
        <item x="80"/>
        <item x="9"/>
        <item x="10"/>
        <item x="87"/>
        <item x="4"/>
        <item x="44"/>
        <item x="98"/>
        <item x="33"/>
        <item x="75"/>
        <item x="28"/>
        <item x="84"/>
        <item x="17"/>
        <item x="38"/>
        <item x="50"/>
        <item x="88"/>
        <item x="76"/>
        <item x="0"/>
        <item x="63"/>
        <item x="19"/>
        <item x="40"/>
        <item x="47"/>
        <item x="43"/>
        <item x="12"/>
        <item x="34"/>
        <item x="20"/>
        <item x="85"/>
        <item x="90"/>
        <item x="96"/>
        <item x="94"/>
        <item x="93"/>
        <item x="1"/>
        <item x="24"/>
        <item x="70"/>
        <item x="56"/>
        <item x="25"/>
        <item x="42"/>
        <item x="77"/>
        <item x="97"/>
        <item x="15"/>
        <item x="51"/>
        <item x="13"/>
        <item x="66"/>
        <item x="18"/>
        <item x="32"/>
        <item x="21"/>
        <item x="14"/>
        <item x="6"/>
        <item x="79"/>
        <item x="45"/>
        <item x="81"/>
        <item x="46"/>
        <item x="57"/>
        <item x="39"/>
        <item x="11"/>
        <item x="53"/>
        <item x="92"/>
        <item x="64"/>
        <item x="22"/>
        <item x="74"/>
        <item x="55"/>
        <item x="5"/>
        <item x="30"/>
        <item x="62"/>
        <item x="89"/>
        <item x="60"/>
        <item x="95"/>
        <item x="7"/>
        <item x="99"/>
        <item x="35"/>
        <item x="71"/>
        <item x="26"/>
        <item x="37"/>
        <item x="59"/>
        <item x="2"/>
        <item x="29"/>
        <item x="52"/>
        <item x="8"/>
        <item x="73"/>
        <item x="91"/>
        <item x="41"/>
        <item x="3"/>
        <item x="65"/>
        <item x="16"/>
        <item x="58"/>
        <item x="68"/>
        <item x="61"/>
        <item x="72"/>
        <item x="86"/>
        <item x="78"/>
        <item t="avg"/>
      </items>
    </pivotField>
    <pivotField showAll="0">
      <items count="3">
        <item x="1"/>
        <item x="0"/>
        <item t="default"/>
      </items>
    </pivotField>
  </pivotFields>
  <rowFields count="2">
    <field x="5"/>
    <field x="6"/>
  </rowFields>
  <rowItems count="30">
    <i>
      <x/>
    </i>
    <i r="1">
      <x/>
    </i>
    <i r="1">
      <x v="1"/>
    </i>
    <i r="1">
      <x v="2"/>
    </i>
    <i r="1">
      <x v="3"/>
    </i>
    <i r="1">
      <x v="4"/>
    </i>
    <i>
      <x v="1"/>
    </i>
    <i r="1">
      <x/>
    </i>
    <i r="1">
      <x v="1"/>
    </i>
    <i r="1">
      <x v="2"/>
    </i>
    <i r="1">
      <x v="3"/>
    </i>
    <i r="1">
      <x v="4"/>
    </i>
    <i>
      <x v="2"/>
    </i>
    <i r="1">
      <x/>
    </i>
    <i r="1">
      <x v="1"/>
    </i>
    <i r="1">
      <x v="2"/>
    </i>
    <i r="1">
      <x v="4"/>
    </i>
    <i>
      <x v="3"/>
    </i>
    <i r="1">
      <x/>
    </i>
    <i r="1">
      <x v="1"/>
    </i>
    <i r="1">
      <x v="2"/>
    </i>
    <i r="1">
      <x v="3"/>
    </i>
    <i r="1">
      <x v="4"/>
    </i>
    <i>
      <x v="4"/>
    </i>
    <i r="1">
      <x/>
    </i>
    <i r="1">
      <x v="1"/>
    </i>
    <i r="1">
      <x v="2"/>
    </i>
    <i r="1">
      <x v="3"/>
    </i>
    <i r="1">
      <x v="4"/>
    </i>
    <i t="grand">
      <x/>
    </i>
  </rowItems>
  <colItems count="1">
    <i/>
  </colItems>
  <dataFields count="1">
    <dataField name="Average of BMI" fld="11"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ED0B1D-6178-4BB0-801D-2D2B970382AB}" name="PivotTable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ealth status">
  <location ref="A3:C6" firstHeaderRow="0" firstDataRow="1" firstDataCol="1"/>
  <pivotFields count="13">
    <pivotField showAll="0"/>
    <pivotField showAll="0"/>
    <pivotField showAll="0">
      <items count="3">
        <item x="0"/>
        <item x="1"/>
        <item t="default"/>
      </items>
    </pivotField>
    <pivotField showAll="0"/>
    <pivotField showAll="0"/>
    <pivotField showAll="0"/>
    <pivotField showAll="0"/>
    <pivotField dataField="1" showAll="0">
      <items count="5">
        <item x="3"/>
        <item x="1"/>
        <item x="2"/>
        <item x="0"/>
        <item t="default"/>
      </items>
    </pivotField>
    <pivotField dataField="1" showAll="0">
      <items count="28">
        <item x="19"/>
        <item x="2"/>
        <item x="16"/>
        <item x="7"/>
        <item x="4"/>
        <item x="8"/>
        <item x="20"/>
        <item x="0"/>
        <item x="6"/>
        <item x="1"/>
        <item x="3"/>
        <item x="9"/>
        <item x="17"/>
        <item x="22"/>
        <item x="13"/>
        <item x="12"/>
        <item x="10"/>
        <item x="23"/>
        <item x="15"/>
        <item x="26"/>
        <item x="21"/>
        <item x="5"/>
        <item x="14"/>
        <item x="25"/>
        <item x="11"/>
        <item x="18"/>
        <item x="24"/>
        <item t="default"/>
      </items>
    </pivotField>
    <pivotField showAll="0">
      <items count="6">
        <item x="1"/>
        <item x="2"/>
        <item x="3"/>
        <item x="0"/>
        <item x="4"/>
        <item t="default"/>
      </items>
    </pivotField>
    <pivotField showAll="0"/>
    <pivotField showAll="0"/>
    <pivotField axis="axisRow" showAll="0">
      <items count="3">
        <item x="1"/>
        <item x="0"/>
        <item t="default"/>
      </items>
    </pivotField>
  </pivotFields>
  <rowFields count="1">
    <field x="12"/>
  </rowFields>
  <rowItems count="3">
    <i>
      <x/>
    </i>
    <i>
      <x v="1"/>
    </i>
    <i t="grand">
      <x/>
    </i>
  </rowItems>
  <colFields count="1">
    <field x="-2"/>
  </colFields>
  <colItems count="2">
    <i>
      <x/>
    </i>
    <i i="1">
      <x v="1"/>
    </i>
  </colItems>
  <dataFields count="2">
    <dataField name="Average of ScreenTime_Hours" fld="8" subtotal="average" baseField="12" baseItem="0" numFmtId="2"/>
    <dataField name="Average of Daily_Sugar_Drinks" fld="7" subtotal="average" baseField="8" baseItem="0" numFmtId="2"/>
  </dataFields>
  <chartFormats count="8">
    <chartFormat chart="0" format="0" series="1">
      <pivotArea type="data" outline="0" fieldPosition="0">
        <references count="2">
          <reference field="4294967294" count="1" selected="0">
            <x v="1"/>
          </reference>
          <reference field="12" count="1" selected="0">
            <x v="0"/>
          </reference>
        </references>
      </pivotArea>
    </chartFormat>
    <chartFormat chart="0" format="1" series="1">
      <pivotArea type="data" outline="0" fieldPosition="0">
        <references count="2">
          <reference field="4294967294" count="1" selected="0">
            <x v="1"/>
          </reference>
          <reference field="12" count="1" selected="0">
            <x v="1"/>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2">
          <reference field="4294967294" count="1" selected="0">
            <x v="0"/>
          </reference>
          <reference field="12" count="1" selected="0">
            <x v="0"/>
          </reference>
        </references>
      </pivotArea>
    </chartFormat>
    <chartFormat chart="0" format="4" series="1">
      <pivotArea type="data" outline="0" fieldPosition="0">
        <references count="2">
          <reference field="4294967294" count="1" selected="0">
            <x v="0"/>
          </reference>
          <reference field="12" count="1" selected="0">
            <x v="1"/>
          </reference>
        </references>
      </pivotArea>
    </chartFormat>
    <chartFormat chart="0" format="5"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845E4B-408B-4EA0-BDF8-F2CD6A46910E}" name="PivotTable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3:C9" firstHeaderRow="0" firstDataRow="1" firstDataCol="1"/>
  <pivotFields count="13">
    <pivotField showAll="0"/>
    <pivotField showAll="0"/>
    <pivotField showAll="0">
      <items count="3">
        <item x="0"/>
        <item x="1"/>
        <item t="default"/>
      </items>
    </pivotField>
    <pivotField showAll="0"/>
    <pivotField showAll="0"/>
    <pivotField dataField="1" showAll="0"/>
    <pivotField showAll="0"/>
    <pivotField showAll="0"/>
    <pivotField showAll="0"/>
    <pivotField axis="axisRow" showAll="0">
      <items count="6">
        <item x="1"/>
        <item x="2"/>
        <item x="3"/>
        <item x="0"/>
        <item x="4"/>
        <item t="default"/>
      </items>
    </pivotField>
    <pivotField showAll="0"/>
    <pivotField dataField="1" showAll="0"/>
    <pivotField showAll="0">
      <items count="3">
        <item x="1"/>
        <item x="0"/>
        <item t="default"/>
      </items>
    </pivotField>
  </pivotFields>
  <rowFields count="1">
    <field x="9"/>
  </rowFields>
  <rowItems count="6">
    <i>
      <x/>
    </i>
    <i>
      <x v="1"/>
    </i>
    <i>
      <x v="2"/>
    </i>
    <i>
      <x v="3"/>
    </i>
    <i>
      <x v="4"/>
    </i>
    <i t="grand">
      <x/>
    </i>
  </rowItems>
  <colFields count="1">
    <field x="-2"/>
  </colFields>
  <colItems count="2">
    <i>
      <x/>
    </i>
    <i i="1">
      <x v="1"/>
    </i>
  </colItems>
  <dataFields count="2">
    <dataField name="Average of BMI" fld="11" subtotal="average" baseField="0" baseItem="0" numFmtId="2"/>
    <dataField name="Average of Daily_Fruit_Servings" fld="5" subtotal="average" baseField="9" baseItem="0" numFmtId="2"/>
  </dataFields>
  <conditionalFormats count="3">
    <conditionalFormat type="all" priority="1">
      <pivotAreas count="1">
        <pivotArea type="data" collapsedLevelsAreSubtotals="1" fieldPosition="0">
          <references count="2">
            <reference field="4294967294" count="1" selected="0">
              <x v="1"/>
            </reference>
            <reference field="9" count="5">
              <x v="0"/>
              <x v="1"/>
              <x v="2"/>
              <x v="3"/>
              <x v="4"/>
            </reference>
          </references>
        </pivotArea>
      </pivotAreas>
    </conditionalFormat>
    <conditionalFormat type="all" priority="2">
      <pivotAreas count="1">
        <pivotArea type="data" collapsedLevelsAreSubtotals="1" fieldPosition="0">
          <references count="2">
            <reference field="4294967294" count="1" selected="0">
              <x v="1"/>
            </reference>
            <reference field="9" count="5">
              <x v="0"/>
              <x v="1"/>
              <x v="2"/>
              <x v="3"/>
              <x v="4"/>
            </reference>
          </references>
        </pivotArea>
      </pivotAreas>
    </conditionalFormat>
    <conditionalFormat type="all" priority="3">
      <pivotAreas count="1">
        <pivotArea type="data" collapsedLevelsAreSubtotals="1" fieldPosition="0">
          <references count="2">
            <reference field="4294967294" count="1" selected="0">
              <x v="1"/>
            </reference>
            <reference field="9" count="5">
              <x v="0"/>
              <x v="1"/>
              <x v="2"/>
              <x v="3"/>
              <x v="4"/>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9" count="1" selected="0">
            <x v="4"/>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1DB399-5FDB-4893-8DF9-296A4108AC79}" autoFormatId="16" applyNumberFormats="0" applyBorderFormats="0" applyFontFormats="0" applyPatternFormats="0" applyAlignmentFormats="0" applyWidthHeightFormats="0">
  <queryTableRefresh nextId="14" unboundColumnsRight="2">
    <queryTableFields count="13">
      <queryTableField id="1" name="ChildID" tableColumnId="1"/>
      <queryTableField id="2" name="Age_Months" tableColumnId="2"/>
      <queryTableField id="3" name="Gender" tableColumnId="3"/>
      <queryTableField id="4" name="Height_cm" tableColumnId="4"/>
      <queryTableField id="5" name="Weight_kg" tableColumnId="5"/>
      <queryTableField id="6" name="Daily_Fruit_Servings" tableColumnId="6"/>
      <queryTableField id="7" name="Daily_Veggie_Servings" tableColumnId="7"/>
      <queryTableField id="8" name="Daily_Sugar_Drinks" tableColumnId="8"/>
      <queryTableField id="9" name="ScreenTime_Hours" tableColumnId="9"/>
      <queryTableField id="10" name="Region" tableColumnId="10"/>
      <queryTableField id="11" name="Age_Years"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BBA9D05E-CC31-4F6F-981D-E67E40998A8C}" sourceName="Health_Status">
  <pivotTables>
    <pivotTable tabId="3" name="PivotTable1"/>
    <pivotTable tabId="5" name="PivotTable3"/>
    <pivotTable tabId="7" name="PivotTable5"/>
    <pivotTable tabId="6" name="PivotTable4"/>
  </pivotTables>
  <data>
    <tabular pivotCacheId="895531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A8B43A-6EF0-44FB-9B77-C58B5EE18D00}" sourceName="Region">
  <pivotTables>
    <pivotTable tabId="5" name="PivotTable3"/>
    <pivotTable tabId="3" name="PivotTable1"/>
    <pivotTable tabId="7" name="PivotTable5"/>
    <pivotTable tabId="6" name="PivotTable4"/>
  </pivotTables>
  <data>
    <tabular pivotCacheId="89553103">
      <items count="5">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76039E-19C2-4D6C-A675-185F06094700}" sourceName="Gender">
  <pivotTables>
    <pivotTable tabId="7" name="PivotTable5"/>
    <pivotTable tabId="3" name="PivotTable1"/>
    <pivotTable tabId="5" name="PivotTable3"/>
    <pivotTable tabId="6" name="PivotTable4"/>
  </pivotTables>
  <data>
    <tabular pivotCacheId="8955310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lth_Status" xr10:uid="{32D284B1-93A2-4CB1-9C6E-D1B630A96AF0}" cache="Slicer_Health_Status" caption="Health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8DB1C8-9CB9-41EE-B635-C9D5AC51E3A4}"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BDDC3D8-5158-4390-BF9B-83F33C6E13E1}" cache="Slicer_Gender"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alth_Status 1" xr10:uid="{7E0EB80B-BC1F-4C59-A66F-A68AD650BC9C}" cache="Slicer_Health_Status" caption="Health_Status" rowHeight="241300"/>
  <slicer name="Region 1" xr10:uid="{D65EC4D9-AEE7-4112-82C6-5DACFBE8B7EB}" cache="Slicer_Region" caption="Region" rowHeight="241300"/>
  <slicer name="Gender 1" xr10:uid="{07DD070F-38E8-4E6B-8970-9CC2DBBD5CF1}" cache="Slicer_Gender"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D28A34-7004-43BE-A2F2-A095A81688EA}" name="Kids_growth_analysis" displayName="Kids_growth_analysis" ref="A1:M101" tableType="queryTable" totalsRowShown="0">
  <autoFilter ref="A1:M101" xr:uid="{1ED28A34-7004-43BE-A2F2-A095A81688EA}"/>
  <tableColumns count="13">
    <tableColumn id="1" xr3:uid="{B06CC857-B3DE-41FD-847E-37335B7A0E90}" uniqueName="1" name="ChildID" queryTableFieldId="1" dataDxfId="7"/>
    <tableColumn id="2" xr3:uid="{0546948F-5790-4D3E-9ED4-8525C132A726}" uniqueName="2" name="Age_Months" queryTableFieldId="2"/>
    <tableColumn id="3" xr3:uid="{53046A7C-9296-4460-91E4-4166383B2909}" uniqueName="3" name="Gender" queryTableFieldId="3" dataDxfId="6"/>
    <tableColumn id="4" xr3:uid="{46A50ACE-32AB-4661-97AD-BDAEB11E645C}" uniqueName="4" name="Height_cm" queryTableFieldId="4"/>
    <tableColumn id="5" xr3:uid="{A7801ED9-C622-4CC1-B45F-39FD96F3B5F4}" uniqueName="5" name="Weight_kg" queryTableFieldId="5"/>
    <tableColumn id="6" xr3:uid="{E681A92E-55B0-4C1F-8286-BD6DEB330D74}" uniqueName="6" name="Daily_Fruit_Servings" queryTableFieldId="6"/>
    <tableColumn id="7" xr3:uid="{1E62E052-5D80-4E1F-B36D-E5687EACD6D1}" uniqueName="7" name="Daily_Veggie_Servings" queryTableFieldId="7"/>
    <tableColumn id="8" xr3:uid="{7046866F-12CC-4C43-B7A2-4FAF956FC97B}" uniqueName="8" name="Daily_Sugar_Drinks" queryTableFieldId="8"/>
    <tableColumn id="9" xr3:uid="{AB1E23F7-6895-4677-9399-26979C5E92E5}" uniqueName="9" name="ScreenTime_Hours" queryTableFieldId="9"/>
    <tableColumn id="10" xr3:uid="{33C29952-5091-4393-9C3A-55AB19909AB7}" uniqueName="10" name="Region" queryTableFieldId="10" dataDxfId="5"/>
    <tableColumn id="11" xr3:uid="{84008DC2-C289-4CED-91CC-DC45DCA2754D}" uniqueName="11" name="Age_Years" queryTableFieldId="11"/>
    <tableColumn id="12" xr3:uid="{F763C717-0C31-4938-9DA4-4149F2A3AF93}" uniqueName="12" name="BMI" queryTableFieldId="12" dataDxfId="0">
      <calculatedColumnFormula>(E2/(D2/100)^2)</calculatedColumnFormula>
    </tableColumn>
    <tableColumn id="13" xr3:uid="{112E673E-9A43-48B3-8579-42D4AA020C68}" uniqueName="13" name="Health_Status" queryTableFieldId="13" dataDxfId="1">
      <calculatedColumnFormula>IF(L2&lt;18.5,"Under Weight",IF(L2&lt;24.9,"Healthy Weight",IF(L2&lt;29.9,"Over Weight", IF(L2&gt;30, "Obese"))))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E63E-0A70-4EAC-8F97-1569D4E2F3B1}">
  <dimension ref="A1:R101"/>
  <sheetViews>
    <sheetView tabSelected="1" workbookViewId="0">
      <selection activeCell="L2" sqref="L2"/>
    </sheetView>
  </sheetViews>
  <sheetFormatPr defaultRowHeight="15" x14ac:dyDescent="0.25"/>
  <cols>
    <col min="1" max="1" width="9.140625" bestFit="1" customWidth="1"/>
    <col min="2" max="2" width="13.7109375" bestFit="1" customWidth="1"/>
    <col min="3" max="3" width="9.28515625" bestFit="1" customWidth="1"/>
    <col min="4" max="5" width="12" bestFit="1" customWidth="1"/>
    <col min="6" max="6" width="20.140625" bestFit="1" customWidth="1"/>
    <col min="7" max="7" width="21.5703125" bestFit="1" customWidth="1"/>
    <col min="8" max="8" width="19.42578125" bestFit="1" customWidth="1"/>
    <col min="9" max="9" width="18.85546875" bestFit="1" customWidth="1"/>
    <col min="11" max="11" width="11.7109375" bestFit="1" customWidth="1"/>
    <col min="13" max="13" width="19.85546875" customWidth="1"/>
  </cols>
  <sheetData>
    <row r="1" spans="1:18" x14ac:dyDescent="0.25">
      <c r="A1" t="s">
        <v>0</v>
      </c>
      <c r="B1" t="s">
        <v>1</v>
      </c>
      <c r="C1" t="s">
        <v>2</v>
      </c>
      <c r="D1" t="s">
        <v>3</v>
      </c>
      <c r="E1" t="s">
        <v>4</v>
      </c>
      <c r="F1" t="s">
        <v>5</v>
      </c>
      <c r="G1" t="s">
        <v>6</v>
      </c>
      <c r="H1" t="s">
        <v>7</v>
      </c>
      <c r="I1" t="s">
        <v>8</v>
      </c>
      <c r="J1" t="s">
        <v>9</v>
      </c>
      <c r="K1" t="s">
        <v>117</v>
      </c>
      <c r="L1" t="s">
        <v>118</v>
      </c>
      <c r="M1" t="s">
        <v>119</v>
      </c>
    </row>
    <row r="2" spans="1:18" x14ac:dyDescent="0.25">
      <c r="A2" t="s">
        <v>10</v>
      </c>
      <c r="B2">
        <v>47</v>
      </c>
      <c r="C2" t="s">
        <v>11</v>
      </c>
      <c r="D2">
        <v>104.41</v>
      </c>
      <c r="E2">
        <v>17.34</v>
      </c>
      <c r="F2">
        <v>1</v>
      </c>
      <c r="G2">
        <v>2</v>
      </c>
      <c r="H2">
        <v>3</v>
      </c>
      <c r="I2">
        <v>1.2</v>
      </c>
      <c r="J2" t="s">
        <v>12</v>
      </c>
      <c r="K2">
        <v>4</v>
      </c>
      <c r="L2" s="4">
        <f t="shared" ref="L2:L33" si="0">(E2/(D2/100)^2)</f>
        <v>15.90614369846883</v>
      </c>
      <c r="M2" t="str">
        <f t="shared" ref="M2:M33" si="1">IF(L2&lt;18.5,"Under Weight",IF(L2&lt;24.9,"Healthy Weight",IF(L2&lt;29.9,"Over Weight", IF(L2&gt;30, "Obese"))))</f>
        <v>Under Weight</v>
      </c>
    </row>
    <row r="3" spans="1:18" x14ac:dyDescent="0.25">
      <c r="A3" t="s">
        <v>13</v>
      </c>
      <c r="B3">
        <v>34</v>
      </c>
      <c r="C3" t="s">
        <v>11</v>
      </c>
      <c r="D3">
        <v>99.08</v>
      </c>
      <c r="E3">
        <v>16.21</v>
      </c>
      <c r="F3">
        <v>0</v>
      </c>
      <c r="G3">
        <v>1</v>
      </c>
      <c r="H3">
        <v>1</v>
      </c>
      <c r="I3">
        <v>1.4</v>
      </c>
      <c r="J3" t="s">
        <v>14</v>
      </c>
      <c r="K3">
        <v>3</v>
      </c>
      <c r="L3" s="4">
        <f t="shared" si="0"/>
        <v>16.512431120446177</v>
      </c>
      <c r="M3" t="str">
        <f t="shared" si="1"/>
        <v>Under Weight</v>
      </c>
    </row>
    <row r="4" spans="1:18" x14ac:dyDescent="0.25">
      <c r="A4" t="s">
        <v>15</v>
      </c>
      <c r="B4">
        <v>35</v>
      </c>
      <c r="C4" t="s">
        <v>11</v>
      </c>
      <c r="D4">
        <v>94.96</v>
      </c>
      <c r="E4">
        <v>17.3</v>
      </c>
      <c r="F4">
        <v>3</v>
      </c>
      <c r="G4">
        <v>3</v>
      </c>
      <c r="H4">
        <v>2</v>
      </c>
      <c r="I4">
        <v>0.6</v>
      </c>
      <c r="J4" t="s">
        <v>14</v>
      </c>
      <c r="K4">
        <v>3</v>
      </c>
      <c r="L4" s="4">
        <f t="shared" si="0"/>
        <v>19.185127564907393</v>
      </c>
      <c r="M4" t="str">
        <f t="shared" si="1"/>
        <v>Healthy Weight</v>
      </c>
    </row>
    <row r="5" spans="1:18" x14ac:dyDescent="0.25">
      <c r="A5" t="s">
        <v>16</v>
      </c>
      <c r="B5">
        <v>39</v>
      </c>
      <c r="C5" t="s">
        <v>11</v>
      </c>
      <c r="D5">
        <v>100.65</v>
      </c>
      <c r="E5">
        <v>20.010000000000002</v>
      </c>
      <c r="F5">
        <v>2</v>
      </c>
      <c r="G5">
        <v>0</v>
      </c>
      <c r="H5">
        <v>1</v>
      </c>
      <c r="I5">
        <v>1.5</v>
      </c>
      <c r="J5" t="s">
        <v>14</v>
      </c>
      <c r="K5">
        <v>3</v>
      </c>
      <c r="L5" s="4">
        <f t="shared" si="0"/>
        <v>19.75238446372795</v>
      </c>
      <c r="M5" t="str">
        <f t="shared" si="1"/>
        <v>Healthy Weight</v>
      </c>
    </row>
    <row r="6" spans="1:18" x14ac:dyDescent="0.25">
      <c r="A6" t="s">
        <v>17</v>
      </c>
      <c r="B6">
        <v>26</v>
      </c>
      <c r="C6" t="s">
        <v>11</v>
      </c>
      <c r="D6">
        <v>90.06</v>
      </c>
      <c r="E6">
        <v>12.16</v>
      </c>
      <c r="F6">
        <v>0</v>
      </c>
      <c r="G6">
        <v>1</v>
      </c>
      <c r="H6">
        <v>0</v>
      </c>
      <c r="I6">
        <v>0.9</v>
      </c>
      <c r="J6" t="s">
        <v>12</v>
      </c>
      <c r="K6">
        <v>2</v>
      </c>
      <c r="L6" s="4">
        <f t="shared" si="0"/>
        <v>14.992349216790304</v>
      </c>
      <c r="M6" t="str">
        <f t="shared" si="1"/>
        <v>Under Weight</v>
      </c>
      <c r="O6" s="9" t="s">
        <v>120</v>
      </c>
      <c r="P6" s="9"/>
      <c r="Q6" s="9"/>
      <c r="R6" s="10">
        <f>AVERAGE(L2:L101)</f>
        <v>17.05804960612538</v>
      </c>
    </row>
    <row r="7" spans="1:18" x14ac:dyDescent="0.25">
      <c r="A7" t="s">
        <v>18</v>
      </c>
      <c r="B7">
        <v>51</v>
      </c>
      <c r="C7" t="s">
        <v>19</v>
      </c>
      <c r="D7">
        <v>108.82</v>
      </c>
      <c r="E7">
        <v>21.54</v>
      </c>
      <c r="F7">
        <v>0</v>
      </c>
      <c r="G7">
        <v>1</v>
      </c>
      <c r="H7">
        <v>1</v>
      </c>
      <c r="I7">
        <v>0.9</v>
      </c>
      <c r="J7" t="s">
        <v>20</v>
      </c>
      <c r="K7">
        <v>4</v>
      </c>
      <c r="L7" s="4">
        <f t="shared" si="0"/>
        <v>18.189813900132215</v>
      </c>
      <c r="M7" t="str">
        <f t="shared" si="1"/>
        <v>Under Weight</v>
      </c>
      <c r="O7" s="9" t="s">
        <v>121</v>
      </c>
      <c r="P7" s="9"/>
      <c r="Q7" s="9"/>
      <c r="R7" s="8">
        <f>AVERAGE(H2:H101)</f>
        <v>1.37</v>
      </c>
    </row>
    <row r="8" spans="1:18" x14ac:dyDescent="0.25">
      <c r="A8" t="s">
        <v>21</v>
      </c>
      <c r="B8">
        <v>52</v>
      </c>
      <c r="C8" t="s">
        <v>19</v>
      </c>
      <c r="D8">
        <v>110.28</v>
      </c>
      <c r="E8">
        <v>21.49</v>
      </c>
      <c r="F8">
        <v>4</v>
      </c>
      <c r="G8">
        <v>0</v>
      </c>
      <c r="H8">
        <v>2</v>
      </c>
      <c r="I8">
        <v>2.8</v>
      </c>
      <c r="J8" t="s">
        <v>12</v>
      </c>
      <c r="K8">
        <v>4</v>
      </c>
      <c r="L8" s="4">
        <f t="shared" si="0"/>
        <v>17.67025840775398</v>
      </c>
      <c r="M8" t="str">
        <f t="shared" si="1"/>
        <v>Under Weight</v>
      </c>
      <c r="O8" s="9" t="s">
        <v>122</v>
      </c>
      <c r="P8" s="9"/>
      <c r="Q8" s="9"/>
      <c r="R8" s="8">
        <f>AVERAGE(F2:F101)</f>
        <v>2.19</v>
      </c>
    </row>
    <row r="9" spans="1:18" x14ac:dyDescent="0.25">
      <c r="A9" t="s">
        <v>22</v>
      </c>
      <c r="B9">
        <v>52</v>
      </c>
      <c r="C9" t="s">
        <v>11</v>
      </c>
      <c r="D9">
        <v>102.65</v>
      </c>
      <c r="E9">
        <v>19.55</v>
      </c>
      <c r="F9">
        <v>2</v>
      </c>
      <c r="G9">
        <v>2</v>
      </c>
      <c r="H9">
        <v>1</v>
      </c>
      <c r="I9">
        <v>1.3</v>
      </c>
      <c r="J9" t="s">
        <v>14</v>
      </c>
      <c r="K9">
        <v>4</v>
      </c>
      <c r="L9" s="4">
        <f t="shared" si="0"/>
        <v>18.553628408784363</v>
      </c>
      <c r="M9" t="str">
        <f t="shared" si="1"/>
        <v>Healthy Weight</v>
      </c>
      <c r="O9" s="9" t="s">
        <v>123</v>
      </c>
      <c r="P9" s="9"/>
      <c r="Q9" s="9"/>
      <c r="R9" s="8">
        <f>AVERAGE(G2:G101)</f>
        <v>1.9</v>
      </c>
    </row>
    <row r="10" spans="1:18" x14ac:dyDescent="0.25">
      <c r="A10" t="s">
        <v>23</v>
      </c>
      <c r="B10">
        <v>28</v>
      </c>
      <c r="C10" t="s">
        <v>19</v>
      </c>
      <c r="D10">
        <v>91.47</v>
      </c>
      <c r="E10">
        <v>16.39</v>
      </c>
      <c r="F10">
        <v>3</v>
      </c>
      <c r="G10">
        <v>2</v>
      </c>
      <c r="H10">
        <v>3</v>
      </c>
      <c r="I10">
        <v>0.8</v>
      </c>
      <c r="J10" t="s">
        <v>24</v>
      </c>
      <c r="K10">
        <v>2</v>
      </c>
      <c r="L10" s="4">
        <f t="shared" si="0"/>
        <v>19.589420799631078</v>
      </c>
      <c r="M10" t="str">
        <f t="shared" si="1"/>
        <v>Healthy Weight</v>
      </c>
      <c r="O10" s="9" t="s">
        <v>124</v>
      </c>
      <c r="P10" s="9"/>
      <c r="Q10" s="9"/>
      <c r="R10" s="8">
        <f>AVERAGE(I2:I101)</f>
        <v>1.3919999999999997</v>
      </c>
    </row>
    <row r="11" spans="1:18" x14ac:dyDescent="0.25">
      <c r="A11" t="s">
        <v>25</v>
      </c>
      <c r="B11">
        <v>44</v>
      </c>
      <c r="C11" t="s">
        <v>11</v>
      </c>
      <c r="D11">
        <v>111.89</v>
      </c>
      <c r="E11">
        <v>17.95</v>
      </c>
      <c r="F11">
        <v>1</v>
      </c>
      <c r="G11">
        <v>3</v>
      </c>
      <c r="H11">
        <v>0</v>
      </c>
      <c r="I11">
        <v>0.8</v>
      </c>
      <c r="J11" t="s">
        <v>14</v>
      </c>
      <c r="K11">
        <v>4</v>
      </c>
      <c r="L11" s="4">
        <f t="shared" si="0"/>
        <v>14.337779767724934</v>
      </c>
      <c r="M11" t="str">
        <f t="shared" si="1"/>
        <v>Under Weight</v>
      </c>
    </row>
    <row r="12" spans="1:18" x14ac:dyDescent="0.25">
      <c r="A12" t="s">
        <v>26</v>
      </c>
      <c r="B12">
        <v>25</v>
      </c>
      <c r="C12" t="s">
        <v>19</v>
      </c>
      <c r="D12">
        <v>96.25</v>
      </c>
      <c r="E12">
        <v>13.5</v>
      </c>
      <c r="F12">
        <v>3</v>
      </c>
      <c r="G12">
        <v>4</v>
      </c>
      <c r="H12">
        <v>0</v>
      </c>
      <c r="I12">
        <v>0.6</v>
      </c>
      <c r="J12" t="s">
        <v>27</v>
      </c>
      <c r="K12">
        <v>2</v>
      </c>
      <c r="L12" s="4">
        <f t="shared" si="0"/>
        <v>14.572440546466519</v>
      </c>
      <c r="M12" t="str">
        <f t="shared" si="1"/>
        <v>Under Weight</v>
      </c>
    </row>
    <row r="13" spans="1:18" x14ac:dyDescent="0.25">
      <c r="A13" t="s">
        <v>28</v>
      </c>
      <c r="B13">
        <v>32</v>
      </c>
      <c r="C13" t="s">
        <v>11</v>
      </c>
      <c r="D13">
        <v>96.02</v>
      </c>
      <c r="E13">
        <v>16.55</v>
      </c>
      <c r="F13">
        <v>2</v>
      </c>
      <c r="G13">
        <v>0</v>
      </c>
      <c r="H13">
        <v>2</v>
      </c>
      <c r="I13">
        <v>1</v>
      </c>
      <c r="J13" t="s">
        <v>24</v>
      </c>
      <c r="K13">
        <v>3</v>
      </c>
      <c r="L13" s="4">
        <f t="shared" si="0"/>
        <v>17.950419185130364</v>
      </c>
      <c r="M13" t="str">
        <f t="shared" si="1"/>
        <v>Under Weight</v>
      </c>
    </row>
    <row r="14" spans="1:18" x14ac:dyDescent="0.25">
      <c r="A14" t="s">
        <v>29</v>
      </c>
      <c r="B14">
        <v>34</v>
      </c>
      <c r="C14" t="s">
        <v>19</v>
      </c>
      <c r="D14">
        <v>97.37</v>
      </c>
      <c r="E14">
        <v>15.55</v>
      </c>
      <c r="F14">
        <v>0</v>
      </c>
      <c r="G14">
        <v>1</v>
      </c>
      <c r="H14">
        <v>2</v>
      </c>
      <c r="I14">
        <v>1.3</v>
      </c>
      <c r="J14" t="s">
        <v>20</v>
      </c>
      <c r="K14">
        <v>3</v>
      </c>
      <c r="L14" s="4">
        <f t="shared" si="0"/>
        <v>16.401367255945466</v>
      </c>
      <c r="M14" t="str">
        <f t="shared" si="1"/>
        <v>Under Weight</v>
      </c>
    </row>
    <row r="15" spans="1:18" x14ac:dyDescent="0.25">
      <c r="A15" t="s">
        <v>30</v>
      </c>
      <c r="B15">
        <v>49</v>
      </c>
      <c r="C15" t="s">
        <v>19</v>
      </c>
      <c r="D15">
        <v>108.39</v>
      </c>
      <c r="E15">
        <v>20.100000000000001</v>
      </c>
      <c r="F15">
        <v>0</v>
      </c>
      <c r="G15">
        <v>2</v>
      </c>
      <c r="H15">
        <v>3</v>
      </c>
      <c r="I15">
        <v>0.6</v>
      </c>
      <c r="J15" t="s">
        <v>20</v>
      </c>
      <c r="K15">
        <v>4</v>
      </c>
      <c r="L15" s="4">
        <f t="shared" si="0"/>
        <v>17.108724180222072</v>
      </c>
      <c r="M15" t="str">
        <f t="shared" si="1"/>
        <v>Under Weight</v>
      </c>
    </row>
    <row r="16" spans="1:18" x14ac:dyDescent="0.25">
      <c r="A16" t="s">
        <v>31</v>
      </c>
      <c r="B16">
        <v>25</v>
      </c>
      <c r="C16" t="s">
        <v>19</v>
      </c>
      <c r="D16">
        <v>92.58</v>
      </c>
      <c r="E16">
        <v>15.13</v>
      </c>
      <c r="F16">
        <v>2</v>
      </c>
      <c r="G16">
        <v>2</v>
      </c>
      <c r="H16">
        <v>2</v>
      </c>
      <c r="I16">
        <v>1.6</v>
      </c>
      <c r="J16" t="s">
        <v>14</v>
      </c>
      <c r="K16">
        <v>2</v>
      </c>
      <c r="L16" s="4">
        <f t="shared" si="0"/>
        <v>17.652433135313405</v>
      </c>
      <c r="M16" t="str">
        <f t="shared" si="1"/>
        <v>Under Weight</v>
      </c>
    </row>
    <row r="17" spans="1:13" x14ac:dyDescent="0.25">
      <c r="A17" t="s">
        <v>32</v>
      </c>
      <c r="B17">
        <v>38</v>
      </c>
      <c r="C17" t="s">
        <v>19</v>
      </c>
      <c r="D17">
        <v>99.65</v>
      </c>
      <c r="E17">
        <v>16.940000000000001</v>
      </c>
      <c r="F17">
        <v>1</v>
      </c>
      <c r="G17">
        <v>3</v>
      </c>
      <c r="H17">
        <v>3</v>
      </c>
      <c r="I17">
        <v>2.1</v>
      </c>
      <c r="J17" t="s">
        <v>14</v>
      </c>
      <c r="K17">
        <v>3</v>
      </c>
      <c r="L17" s="4">
        <f t="shared" si="0"/>
        <v>17.059205462973896</v>
      </c>
      <c r="M17" t="str">
        <f t="shared" si="1"/>
        <v>Under Weight</v>
      </c>
    </row>
    <row r="18" spans="1:13" x14ac:dyDescent="0.25">
      <c r="A18" t="s">
        <v>33</v>
      </c>
      <c r="B18">
        <v>38</v>
      </c>
      <c r="C18" t="s">
        <v>11</v>
      </c>
      <c r="D18">
        <v>98.91</v>
      </c>
      <c r="E18">
        <v>19.489999999999998</v>
      </c>
      <c r="F18">
        <v>0</v>
      </c>
      <c r="G18">
        <v>0</v>
      </c>
      <c r="H18">
        <v>3</v>
      </c>
      <c r="I18">
        <v>3.1</v>
      </c>
      <c r="J18" t="s">
        <v>14</v>
      </c>
      <c r="K18">
        <v>3</v>
      </c>
      <c r="L18" s="4">
        <f t="shared" si="0"/>
        <v>19.92193117497148</v>
      </c>
      <c r="M18" t="str">
        <f t="shared" si="1"/>
        <v>Healthy Weight</v>
      </c>
    </row>
    <row r="19" spans="1:13" x14ac:dyDescent="0.25">
      <c r="A19" t="s">
        <v>34</v>
      </c>
      <c r="B19">
        <v>25</v>
      </c>
      <c r="C19" t="s">
        <v>11</v>
      </c>
      <c r="D19">
        <v>96.42</v>
      </c>
      <c r="E19">
        <v>14.69</v>
      </c>
      <c r="F19">
        <v>1</v>
      </c>
      <c r="G19">
        <v>3</v>
      </c>
      <c r="H19">
        <v>2</v>
      </c>
      <c r="I19">
        <v>1.2</v>
      </c>
      <c r="J19" t="s">
        <v>24</v>
      </c>
      <c r="K19">
        <v>2</v>
      </c>
      <c r="L19" s="4">
        <f t="shared" si="0"/>
        <v>15.801108000799067</v>
      </c>
      <c r="M19" t="str">
        <f t="shared" si="1"/>
        <v>Under Weight</v>
      </c>
    </row>
    <row r="20" spans="1:13" x14ac:dyDescent="0.25">
      <c r="A20" t="s">
        <v>35</v>
      </c>
      <c r="B20">
        <v>57</v>
      </c>
      <c r="C20" t="s">
        <v>11</v>
      </c>
      <c r="D20">
        <v>109.26</v>
      </c>
      <c r="E20">
        <v>20.61</v>
      </c>
      <c r="F20">
        <v>3</v>
      </c>
      <c r="G20">
        <v>2</v>
      </c>
      <c r="H20">
        <v>1</v>
      </c>
      <c r="I20">
        <v>2</v>
      </c>
      <c r="J20" t="s">
        <v>20</v>
      </c>
      <c r="K20">
        <v>5</v>
      </c>
      <c r="L20" s="4">
        <f t="shared" si="0"/>
        <v>17.264563375422682</v>
      </c>
      <c r="M20" t="str">
        <f t="shared" si="1"/>
        <v>Under Weight</v>
      </c>
    </row>
    <row r="21" spans="1:13" x14ac:dyDescent="0.25">
      <c r="A21" t="s">
        <v>36</v>
      </c>
      <c r="B21">
        <v>34</v>
      </c>
      <c r="C21" t="s">
        <v>19</v>
      </c>
      <c r="D21">
        <v>98.22</v>
      </c>
      <c r="E21">
        <v>15.49</v>
      </c>
      <c r="F21">
        <v>1</v>
      </c>
      <c r="G21">
        <v>2</v>
      </c>
      <c r="H21">
        <v>0</v>
      </c>
      <c r="I21">
        <v>0.8</v>
      </c>
      <c r="J21" t="s">
        <v>14</v>
      </c>
      <c r="K21">
        <v>3</v>
      </c>
      <c r="L21" s="4">
        <f t="shared" si="0"/>
        <v>16.056524938447225</v>
      </c>
      <c r="M21" t="str">
        <f t="shared" si="1"/>
        <v>Under Weight</v>
      </c>
    </row>
    <row r="22" spans="1:13" x14ac:dyDescent="0.25">
      <c r="A22" t="s">
        <v>37</v>
      </c>
      <c r="B22">
        <v>35</v>
      </c>
      <c r="C22" t="s">
        <v>11</v>
      </c>
      <c r="D22">
        <v>101.02</v>
      </c>
      <c r="E22">
        <v>16.760000000000002</v>
      </c>
      <c r="F22">
        <v>3</v>
      </c>
      <c r="G22">
        <v>2</v>
      </c>
      <c r="H22">
        <v>2</v>
      </c>
      <c r="I22">
        <v>1.9</v>
      </c>
      <c r="J22" t="s">
        <v>12</v>
      </c>
      <c r="K22">
        <v>3</v>
      </c>
      <c r="L22" s="4">
        <f t="shared" si="0"/>
        <v>16.423256883921791</v>
      </c>
      <c r="M22" t="str">
        <f t="shared" si="1"/>
        <v>Under Weight</v>
      </c>
    </row>
    <row r="23" spans="1:13" x14ac:dyDescent="0.25">
      <c r="A23" t="s">
        <v>38</v>
      </c>
      <c r="B23">
        <v>56</v>
      </c>
      <c r="C23" t="s">
        <v>19</v>
      </c>
      <c r="D23">
        <v>111.44</v>
      </c>
      <c r="E23">
        <v>21.87</v>
      </c>
      <c r="F23">
        <v>4</v>
      </c>
      <c r="G23">
        <v>1</v>
      </c>
      <c r="H23">
        <v>2</v>
      </c>
      <c r="I23">
        <v>1.9</v>
      </c>
      <c r="J23" t="s">
        <v>20</v>
      </c>
      <c r="K23">
        <v>5</v>
      </c>
      <c r="L23" s="4">
        <f t="shared" si="0"/>
        <v>17.610292772445963</v>
      </c>
      <c r="M23" t="str">
        <f t="shared" si="1"/>
        <v>Under Weight</v>
      </c>
    </row>
    <row r="24" spans="1:13" x14ac:dyDescent="0.25">
      <c r="A24" t="s">
        <v>39</v>
      </c>
      <c r="B24">
        <v>46</v>
      </c>
      <c r="C24" t="s">
        <v>19</v>
      </c>
      <c r="D24">
        <v>103.85</v>
      </c>
      <c r="E24">
        <v>19.47</v>
      </c>
      <c r="F24">
        <v>2</v>
      </c>
      <c r="G24">
        <v>4</v>
      </c>
      <c r="H24">
        <v>3</v>
      </c>
      <c r="I24">
        <v>2.9</v>
      </c>
      <c r="J24" t="s">
        <v>20</v>
      </c>
      <c r="K24">
        <v>4</v>
      </c>
      <c r="L24" s="4">
        <f t="shared" si="0"/>
        <v>18.053148301698982</v>
      </c>
      <c r="M24" t="str">
        <f t="shared" si="1"/>
        <v>Under Weight</v>
      </c>
    </row>
    <row r="25" spans="1:13" x14ac:dyDescent="0.25">
      <c r="A25" t="s">
        <v>40</v>
      </c>
      <c r="B25">
        <v>35</v>
      </c>
      <c r="C25" t="s">
        <v>11</v>
      </c>
      <c r="D25">
        <v>102.67</v>
      </c>
      <c r="E25">
        <v>13.79</v>
      </c>
      <c r="F25">
        <v>4</v>
      </c>
      <c r="G25">
        <v>1</v>
      </c>
      <c r="H25">
        <v>1</v>
      </c>
      <c r="I25">
        <v>2</v>
      </c>
      <c r="J25" t="s">
        <v>14</v>
      </c>
      <c r="K25">
        <v>3</v>
      </c>
      <c r="L25" s="4">
        <f t="shared" si="0"/>
        <v>13.082090287312587</v>
      </c>
      <c r="M25" t="str">
        <f t="shared" si="1"/>
        <v>Under Weight</v>
      </c>
    </row>
    <row r="26" spans="1:13" x14ac:dyDescent="0.25">
      <c r="A26" t="s">
        <v>41</v>
      </c>
      <c r="B26">
        <v>52</v>
      </c>
      <c r="C26" t="s">
        <v>19</v>
      </c>
      <c r="D26">
        <v>107.91</v>
      </c>
      <c r="E26">
        <v>19.27</v>
      </c>
      <c r="F26">
        <v>4</v>
      </c>
      <c r="G26">
        <v>0</v>
      </c>
      <c r="H26">
        <v>0</v>
      </c>
      <c r="I26">
        <v>0.8</v>
      </c>
      <c r="J26" t="s">
        <v>20</v>
      </c>
      <c r="K26">
        <v>4</v>
      </c>
      <c r="L26" s="4">
        <f t="shared" si="0"/>
        <v>16.548488389191526</v>
      </c>
      <c r="M26" t="str">
        <f t="shared" si="1"/>
        <v>Under Weight</v>
      </c>
    </row>
    <row r="27" spans="1:13" x14ac:dyDescent="0.25">
      <c r="A27" t="s">
        <v>42</v>
      </c>
      <c r="B27">
        <v>30</v>
      </c>
      <c r="C27" t="s">
        <v>11</v>
      </c>
      <c r="D27">
        <v>96.67</v>
      </c>
      <c r="E27">
        <v>15.72</v>
      </c>
      <c r="F27">
        <v>3</v>
      </c>
      <c r="G27">
        <v>1</v>
      </c>
      <c r="H27">
        <v>2</v>
      </c>
      <c r="I27">
        <v>1.2</v>
      </c>
      <c r="J27" t="s">
        <v>24</v>
      </c>
      <c r="K27">
        <v>2</v>
      </c>
      <c r="L27" s="4">
        <f t="shared" si="0"/>
        <v>16.821669829165565</v>
      </c>
      <c r="M27" t="str">
        <f t="shared" si="1"/>
        <v>Under Weight</v>
      </c>
    </row>
    <row r="28" spans="1:13" x14ac:dyDescent="0.25">
      <c r="A28" t="s">
        <v>43</v>
      </c>
      <c r="B28">
        <v>35</v>
      </c>
      <c r="C28" t="s">
        <v>19</v>
      </c>
      <c r="D28">
        <v>101.41</v>
      </c>
      <c r="E28">
        <v>19.45</v>
      </c>
      <c r="F28">
        <v>0</v>
      </c>
      <c r="G28">
        <v>4</v>
      </c>
      <c r="H28">
        <v>2</v>
      </c>
      <c r="I28">
        <v>1.9</v>
      </c>
      <c r="J28" t="s">
        <v>12</v>
      </c>
      <c r="K28">
        <v>3</v>
      </c>
      <c r="L28" s="4">
        <f t="shared" si="0"/>
        <v>18.912896252767929</v>
      </c>
      <c r="M28" t="str">
        <f t="shared" si="1"/>
        <v>Healthy Weight</v>
      </c>
    </row>
    <row r="29" spans="1:13" x14ac:dyDescent="0.25">
      <c r="A29" t="s">
        <v>44</v>
      </c>
      <c r="B29">
        <v>32</v>
      </c>
      <c r="C29" t="s">
        <v>11</v>
      </c>
      <c r="D29">
        <v>102.28</v>
      </c>
      <c r="E29">
        <v>11.75</v>
      </c>
      <c r="F29">
        <v>2</v>
      </c>
      <c r="G29">
        <v>1</v>
      </c>
      <c r="H29">
        <v>1</v>
      </c>
      <c r="I29">
        <v>1.3</v>
      </c>
      <c r="J29" t="s">
        <v>20</v>
      </c>
      <c r="K29">
        <v>3</v>
      </c>
      <c r="L29" s="4">
        <f t="shared" si="0"/>
        <v>11.23198275256877</v>
      </c>
      <c r="M29" t="str">
        <f t="shared" si="1"/>
        <v>Under Weight</v>
      </c>
    </row>
    <row r="30" spans="1:13" x14ac:dyDescent="0.25">
      <c r="A30" t="s">
        <v>45</v>
      </c>
      <c r="B30">
        <v>46</v>
      </c>
      <c r="C30" t="s">
        <v>19</v>
      </c>
      <c r="D30">
        <v>105.06</v>
      </c>
      <c r="E30">
        <v>17.260000000000002</v>
      </c>
      <c r="F30">
        <v>4</v>
      </c>
      <c r="G30">
        <v>1</v>
      </c>
      <c r="H30">
        <v>2</v>
      </c>
      <c r="I30">
        <v>0.8</v>
      </c>
      <c r="J30" t="s">
        <v>14</v>
      </c>
      <c r="K30">
        <v>4</v>
      </c>
      <c r="L30" s="4">
        <f t="shared" si="0"/>
        <v>15.637452318001349</v>
      </c>
      <c r="M30" t="str">
        <f t="shared" si="1"/>
        <v>Under Weight</v>
      </c>
    </row>
    <row r="31" spans="1:13" x14ac:dyDescent="0.25">
      <c r="A31" t="s">
        <v>46</v>
      </c>
      <c r="B31">
        <v>43</v>
      </c>
      <c r="C31" t="s">
        <v>19</v>
      </c>
      <c r="D31">
        <v>103.22</v>
      </c>
      <c r="E31">
        <v>20.74</v>
      </c>
      <c r="F31">
        <v>2</v>
      </c>
      <c r="G31">
        <v>2</v>
      </c>
      <c r="H31">
        <v>3</v>
      </c>
      <c r="I31">
        <v>2.1</v>
      </c>
      <c r="J31" t="s">
        <v>12</v>
      </c>
      <c r="K31">
        <v>4</v>
      </c>
      <c r="L31" s="4">
        <f t="shared" si="0"/>
        <v>19.466193791459283</v>
      </c>
      <c r="M31" t="str">
        <f t="shared" si="1"/>
        <v>Healthy Weight</v>
      </c>
    </row>
    <row r="32" spans="1:13" x14ac:dyDescent="0.25">
      <c r="A32" t="s">
        <v>47</v>
      </c>
      <c r="B32">
        <v>46</v>
      </c>
      <c r="C32" t="s">
        <v>11</v>
      </c>
      <c r="D32">
        <v>105.42</v>
      </c>
      <c r="E32">
        <v>20.23</v>
      </c>
      <c r="F32">
        <v>4</v>
      </c>
      <c r="G32">
        <v>0</v>
      </c>
      <c r="H32">
        <v>2</v>
      </c>
      <c r="I32">
        <v>2.2999999999999998</v>
      </c>
      <c r="J32" t="s">
        <v>27</v>
      </c>
      <c r="K32">
        <v>4</v>
      </c>
      <c r="L32" s="4">
        <f t="shared" si="0"/>
        <v>18.203288786295403</v>
      </c>
      <c r="M32" t="str">
        <f t="shared" si="1"/>
        <v>Under Weight</v>
      </c>
    </row>
    <row r="33" spans="1:13" x14ac:dyDescent="0.25">
      <c r="A33" t="s">
        <v>48</v>
      </c>
      <c r="B33">
        <v>32</v>
      </c>
      <c r="C33" t="s">
        <v>19</v>
      </c>
      <c r="D33">
        <v>97.29</v>
      </c>
      <c r="E33">
        <v>12.89</v>
      </c>
      <c r="F33">
        <v>4</v>
      </c>
      <c r="G33">
        <v>2</v>
      </c>
      <c r="H33">
        <v>2</v>
      </c>
      <c r="I33">
        <v>1.3</v>
      </c>
      <c r="J33" t="s">
        <v>14</v>
      </c>
      <c r="K33">
        <v>3</v>
      </c>
      <c r="L33" s="4">
        <f t="shared" si="0"/>
        <v>13.618099737124188</v>
      </c>
      <c r="M33" t="str">
        <f t="shared" si="1"/>
        <v>Under Weight</v>
      </c>
    </row>
    <row r="34" spans="1:13" x14ac:dyDescent="0.25">
      <c r="A34" t="s">
        <v>49</v>
      </c>
      <c r="B34">
        <v>46</v>
      </c>
      <c r="C34" t="s">
        <v>19</v>
      </c>
      <c r="D34">
        <v>106.22</v>
      </c>
      <c r="E34">
        <v>19.48</v>
      </c>
      <c r="F34">
        <v>4</v>
      </c>
      <c r="G34">
        <v>3</v>
      </c>
      <c r="H34">
        <v>0</v>
      </c>
      <c r="I34">
        <v>0.7</v>
      </c>
      <c r="J34" t="s">
        <v>12</v>
      </c>
      <c r="K34">
        <v>4</v>
      </c>
      <c r="L34" s="4">
        <f t="shared" ref="L34:L65" si="2">(E34/(D34/100)^2)</f>
        <v>17.26538862847617</v>
      </c>
      <c r="M34" t="str">
        <f t="shared" ref="M34:M65" si="3">IF(L34&lt;18.5,"Under Weight",IF(L34&lt;24.9,"Healthy Weight",IF(L34&lt;29.9,"Over Weight", IF(L34&gt;30, "Obese"))))</f>
        <v>Under Weight</v>
      </c>
    </row>
    <row r="35" spans="1:13" x14ac:dyDescent="0.25">
      <c r="A35" t="s">
        <v>50</v>
      </c>
      <c r="B35">
        <v>56</v>
      </c>
      <c r="C35" t="s">
        <v>11</v>
      </c>
      <c r="D35">
        <v>114.63</v>
      </c>
      <c r="E35">
        <v>20.11</v>
      </c>
      <c r="F35">
        <v>2</v>
      </c>
      <c r="G35">
        <v>1</v>
      </c>
      <c r="H35">
        <v>0</v>
      </c>
      <c r="I35">
        <v>0.8</v>
      </c>
      <c r="J35" t="s">
        <v>27</v>
      </c>
      <c r="K35">
        <v>5</v>
      </c>
      <c r="L35" s="4">
        <f t="shared" si="2"/>
        <v>15.304371025015923</v>
      </c>
      <c r="M35" t="str">
        <f t="shared" si="3"/>
        <v>Under Weight</v>
      </c>
    </row>
    <row r="36" spans="1:13" x14ac:dyDescent="0.25">
      <c r="A36" t="s">
        <v>51</v>
      </c>
      <c r="B36">
        <v>30</v>
      </c>
      <c r="C36" t="s">
        <v>11</v>
      </c>
      <c r="D36">
        <v>93.15</v>
      </c>
      <c r="E36">
        <v>14.24</v>
      </c>
      <c r="F36">
        <v>1</v>
      </c>
      <c r="G36">
        <v>1</v>
      </c>
      <c r="H36">
        <v>2</v>
      </c>
      <c r="I36">
        <v>1.3</v>
      </c>
      <c r="J36" t="s">
        <v>14</v>
      </c>
      <c r="K36">
        <v>2</v>
      </c>
      <c r="L36" s="4">
        <f t="shared" si="2"/>
        <v>16.411348608910586</v>
      </c>
      <c r="M36" t="str">
        <f t="shared" si="3"/>
        <v>Under Weight</v>
      </c>
    </row>
    <row r="37" spans="1:13" x14ac:dyDescent="0.25">
      <c r="A37" t="s">
        <v>52</v>
      </c>
      <c r="B37">
        <v>44</v>
      </c>
      <c r="C37" t="s">
        <v>11</v>
      </c>
      <c r="D37">
        <v>102.36</v>
      </c>
      <c r="E37">
        <v>19.600000000000001</v>
      </c>
      <c r="F37">
        <v>1</v>
      </c>
      <c r="G37">
        <v>2</v>
      </c>
      <c r="H37">
        <v>0</v>
      </c>
      <c r="I37">
        <v>0.9</v>
      </c>
      <c r="J37" t="s">
        <v>27</v>
      </c>
      <c r="K37">
        <v>4</v>
      </c>
      <c r="L37" s="4">
        <f t="shared" si="2"/>
        <v>18.706628300517327</v>
      </c>
      <c r="M37" t="str">
        <f t="shared" si="3"/>
        <v>Healthy Weight</v>
      </c>
    </row>
    <row r="38" spans="1:13" x14ac:dyDescent="0.25">
      <c r="A38" t="s">
        <v>53</v>
      </c>
      <c r="B38">
        <v>43</v>
      </c>
      <c r="C38" t="s">
        <v>11</v>
      </c>
      <c r="D38">
        <v>105.34</v>
      </c>
      <c r="E38">
        <v>14.14</v>
      </c>
      <c r="F38">
        <v>4</v>
      </c>
      <c r="G38">
        <v>3</v>
      </c>
      <c r="H38">
        <v>0</v>
      </c>
      <c r="I38">
        <v>0.8</v>
      </c>
      <c r="J38" t="s">
        <v>20</v>
      </c>
      <c r="K38">
        <v>4</v>
      </c>
      <c r="L38" s="4">
        <f t="shared" si="2"/>
        <v>12.742738810730817</v>
      </c>
      <c r="M38" t="str">
        <f t="shared" si="3"/>
        <v>Under Weight</v>
      </c>
    </row>
    <row r="39" spans="1:13" x14ac:dyDescent="0.25">
      <c r="A39" t="s">
        <v>54</v>
      </c>
      <c r="B39">
        <v>31</v>
      </c>
      <c r="C39" t="s">
        <v>11</v>
      </c>
      <c r="D39">
        <v>96.26</v>
      </c>
      <c r="E39">
        <v>17.63</v>
      </c>
      <c r="F39">
        <v>3</v>
      </c>
      <c r="G39">
        <v>3</v>
      </c>
      <c r="H39">
        <v>2</v>
      </c>
      <c r="I39">
        <v>1.7</v>
      </c>
      <c r="J39" t="s">
        <v>20</v>
      </c>
      <c r="K39">
        <v>3</v>
      </c>
      <c r="L39" s="4">
        <f t="shared" si="2"/>
        <v>19.026574134418222</v>
      </c>
      <c r="M39" t="str">
        <f t="shared" si="3"/>
        <v>Healthy Weight</v>
      </c>
    </row>
    <row r="40" spans="1:13" x14ac:dyDescent="0.25">
      <c r="A40" t="s">
        <v>55</v>
      </c>
      <c r="B40">
        <v>28</v>
      </c>
      <c r="C40" t="s">
        <v>19</v>
      </c>
      <c r="D40">
        <v>97.25</v>
      </c>
      <c r="E40">
        <v>14.98</v>
      </c>
      <c r="F40">
        <v>3</v>
      </c>
      <c r="G40">
        <v>4</v>
      </c>
      <c r="H40">
        <v>3</v>
      </c>
      <c r="I40">
        <v>3.2</v>
      </c>
      <c r="J40" t="s">
        <v>14</v>
      </c>
      <c r="K40">
        <v>2</v>
      </c>
      <c r="L40" s="4">
        <f t="shared" si="2"/>
        <v>15.839176320537135</v>
      </c>
      <c r="M40" t="str">
        <f t="shared" si="3"/>
        <v>Under Weight</v>
      </c>
    </row>
    <row r="41" spans="1:13" x14ac:dyDescent="0.25">
      <c r="A41" t="s">
        <v>56</v>
      </c>
      <c r="B41">
        <v>48</v>
      </c>
      <c r="C41" t="s">
        <v>19</v>
      </c>
      <c r="D41">
        <v>108.23</v>
      </c>
      <c r="E41">
        <v>21</v>
      </c>
      <c r="F41">
        <v>3</v>
      </c>
      <c r="G41">
        <v>4</v>
      </c>
      <c r="H41">
        <v>0</v>
      </c>
      <c r="I41">
        <v>0.6</v>
      </c>
      <c r="J41" t="s">
        <v>14</v>
      </c>
      <c r="K41">
        <v>4</v>
      </c>
      <c r="L41" s="4">
        <f t="shared" si="2"/>
        <v>17.927675301525785</v>
      </c>
      <c r="M41" t="str">
        <f t="shared" si="3"/>
        <v>Under Weight</v>
      </c>
    </row>
    <row r="42" spans="1:13" x14ac:dyDescent="0.25">
      <c r="A42" t="s">
        <v>57</v>
      </c>
      <c r="B42">
        <v>27</v>
      </c>
      <c r="C42" t="s">
        <v>19</v>
      </c>
      <c r="D42">
        <v>97</v>
      </c>
      <c r="E42">
        <v>15.12</v>
      </c>
      <c r="F42">
        <v>4</v>
      </c>
      <c r="G42">
        <v>0</v>
      </c>
      <c r="H42">
        <v>1</v>
      </c>
      <c r="I42">
        <v>1.7</v>
      </c>
      <c r="J42" t="s">
        <v>24</v>
      </c>
      <c r="K42">
        <v>2</v>
      </c>
      <c r="L42" s="4">
        <f t="shared" si="2"/>
        <v>16.069720480391116</v>
      </c>
      <c r="M42" t="str">
        <f t="shared" si="3"/>
        <v>Under Weight</v>
      </c>
    </row>
    <row r="43" spans="1:13" x14ac:dyDescent="0.25">
      <c r="A43" t="s">
        <v>58</v>
      </c>
      <c r="B43">
        <v>45</v>
      </c>
      <c r="C43" t="s">
        <v>19</v>
      </c>
      <c r="D43">
        <v>107.27</v>
      </c>
      <c r="E43">
        <v>22.7</v>
      </c>
      <c r="F43">
        <v>4</v>
      </c>
      <c r="G43">
        <v>0</v>
      </c>
      <c r="H43">
        <v>0</v>
      </c>
      <c r="I43">
        <v>0.8</v>
      </c>
      <c r="J43" t="s">
        <v>12</v>
      </c>
      <c r="K43">
        <v>4</v>
      </c>
      <c r="L43" s="4">
        <f t="shared" si="2"/>
        <v>19.727374806364303</v>
      </c>
      <c r="M43" t="str">
        <f t="shared" si="3"/>
        <v>Healthy Weight</v>
      </c>
    </row>
    <row r="44" spans="1:13" x14ac:dyDescent="0.25">
      <c r="A44" t="s">
        <v>59</v>
      </c>
      <c r="B44">
        <v>54</v>
      </c>
      <c r="C44" t="s">
        <v>19</v>
      </c>
      <c r="D44">
        <v>112.46</v>
      </c>
      <c r="E44">
        <v>21.36</v>
      </c>
      <c r="F44">
        <v>2</v>
      </c>
      <c r="G44">
        <v>0</v>
      </c>
      <c r="H44">
        <v>1</v>
      </c>
      <c r="I44">
        <v>1</v>
      </c>
      <c r="J44" t="s">
        <v>14</v>
      </c>
      <c r="K44">
        <v>4</v>
      </c>
      <c r="L44" s="4">
        <f t="shared" si="2"/>
        <v>16.889044889405064</v>
      </c>
      <c r="M44" t="str">
        <f t="shared" si="3"/>
        <v>Under Weight</v>
      </c>
    </row>
    <row r="45" spans="1:13" x14ac:dyDescent="0.25">
      <c r="A45" t="s">
        <v>60</v>
      </c>
      <c r="B45">
        <v>40</v>
      </c>
      <c r="C45" t="s">
        <v>19</v>
      </c>
      <c r="D45">
        <v>103.32</v>
      </c>
      <c r="E45">
        <v>17.41</v>
      </c>
      <c r="F45">
        <v>1</v>
      </c>
      <c r="G45">
        <v>0</v>
      </c>
      <c r="H45">
        <v>2</v>
      </c>
      <c r="I45">
        <v>2</v>
      </c>
      <c r="J45" t="s">
        <v>20</v>
      </c>
      <c r="K45">
        <v>3</v>
      </c>
      <c r="L45" s="4">
        <f t="shared" si="2"/>
        <v>16.309099267089127</v>
      </c>
      <c r="M45" t="str">
        <f t="shared" si="3"/>
        <v>Under Weight</v>
      </c>
    </row>
    <row r="46" spans="1:13" x14ac:dyDescent="0.25">
      <c r="A46" t="s">
        <v>61</v>
      </c>
      <c r="B46">
        <v>52</v>
      </c>
      <c r="C46" t="s">
        <v>11</v>
      </c>
      <c r="D46">
        <v>107.31</v>
      </c>
      <c r="E46">
        <v>17.34</v>
      </c>
      <c r="F46">
        <v>1</v>
      </c>
      <c r="G46">
        <v>3</v>
      </c>
      <c r="H46">
        <v>0</v>
      </c>
      <c r="I46">
        <v>0.5</v>
      </c>
      <c r="J46" t="s">
        <v>24</v>
      </c>
      <c r="K46">
        <v>4</v>
      </c>
      <c r="L46" s="4">
        <f t="shared" si="2"/>
        <v>15.058048908803379</v>
      </c>
      <c r="M46" t="str">
        <f t="shared" si="3"/>
        <v>Under Weight</v>
      </c>
    </row>
    <row r="47" spans="1:13" x14ac:dyDescent="0.25">
      <c r="A47" t="s">
        <v>62</v>
      </c>
      <c r="B47">
        <v>34</v>
      </c>
      <c r="C47" t="s">
        <v>19</v>
      </c>
      <c r="D47">
        <v>99.12</v>
      </c>
      <c r="E47">
        <v>17.43</v>
      </c>
      <c r="F47">
        <v>3</v>
      </c>
      <c r="G47">
        <v>4</v>
      </c>
      <c r="H47">
        <v>3</v>
      </c>
      <c r="I47">
        <v>1.6</v>
      </c>
      <c r="J47" t="s">
        <v>12</v>
      </c>
      <c r="K47">
        <v>3</v>
      </c>
      <c r="L47" s="4">
        <f t="shared" si="2"/>
        <v>17.740865378038603</v>
      </c>
      <c r="M47" t="str">
        <f t="shared" si="3"/>
        <v>Under Weight</v>
      </c>
    </row>
    <row r="48" spans="1:13" x14ac:dyDescent="0.25">
      <c r="A48" t="s">
        <v>63</v>
      </c>
      <c r="B48">
        <v>27</v>
      </c>
      <c r="C48" t="s">
        <v>19</v>
      </c>
      <c r="D48">
        <v>93.16</v>
      </c>
      <c r="E48">
        <v>15.53</v>
      </c>
      <c r="F48">
        <v>2</v>
      </c>
      <c r="G48">
        <v>2</v>
      </c>
      <c r="H48">
        <v>0</v>
      </c>
      <c r="I48">
        <v>0.8</v>
      </c>
      <c r="J48" t="s">
        <v>14</v>
      </c>
      <c r="K48">
        <v>2</v>
      </c>
      <c r="L48" s="4">
        <f t="shared" si="2"/>
        <v>17.89420860909388</v>
      </c>
      <c r="M48" t="str">
        <f t="shared" si="3"/>
        <v>Under Weight</v>
      </c>
    </row>
    <row r="49" spans="1:13" x14ac:dyDescent="0.25">
      <c r="A49" t="s">
        <v>64</v>
      </c>
      <c r="B49">
        <v>55</v>
      </c>
      <c r="C49" t="s">
        <v>19</v>
      </c>
      <c r="D49">
        <v>111.49</v>
      </c>
      <c r="E49">
        <v>20.23</v>
      </c>
      <c r="F49">
        <v>1</v>
      </c>
      <c r="G49">
        <v>0</v>
      </c>
      <c r="H49">
        <v>1</v>
      </c>
      <c r="I49">
        <v>1.6</v>
      </c>
      <c r="J49" t="s">
        <v>24</v>
      </c>
      <c r="K49">
        <v>5</v>
      </c>
      <c r="L49" s="4">
        <f t="shared" si="2"/>
        <v>16.27511447065158</v>
      </c>
      <c r="M49" t="str">
        <f t="shared" si="3"/>
        <v>Under Weight</v>
      </c>
    </row>
    <row r="50" spans="1:13" x14ac:dyDescent="0.25">
      <c r="A50" t="s">
        <v>65</v>
      </c>
      <c r="B50">
        <v>42</v>
      </c>
      <c r="C50" t="s">
        <v>11</v>
      </c>
      <c r="D50">
        <v>108.71</v>
      </c>
      <c r="E50">
        <v>16.2</v>
      </c>
      <c r="F50">
        <v>2</v>
      </c>
      <c r="G50">
        <v>1</v>
      </c>
      <c r="H50">
        <v>3</v>
      </c>
      <c r="I50">
        <v>1.1000000000000001</v>
      </c>
      <c r="J50" t="s">
        <v>24</v>
      </c>
      <c r="K50">
        <v>4</v>
      </c>
      <c r="L50" s="4">
        <f t="shared" si="2"/>
        <v>13.708060833090812</v>
      </c>
      <c r="M50" t="str">
        <f t="shared" si="3"/>
        <v>Under Weight</v>
      </c>
    </row>
    <row r="51" spans="1:13" x14ac:dyDescent="0.25">
      <c r="A51" t="s">
        <v>66</v>
      </c>
      <c r="B51">
        <v>36</v>
      </c>
      <c r="C51" t="s">
        <v>11</v>
      </c>
      <c r="D51">
        <v>97.21</v>
      </c>
      <c r="E51">
        <v>13.41</v>
      </c>
      <c r="F51">
        <v>4</v>
      </c>
      <c r="G51">
        <v>3</v>
      </c>
      <c r="H51">
        <v>1</v>
      </c>
      <c r="I51">
        <v>0.9</v>
      </c>
      <c r="J51" t="s">
        <v>14</v>
      </c>
      <c r="K51">
        <v>3</v>
      </c>
      <c r="L51" s="4">
        <f t="shared" si="2"/>
        <v>14.190800401461026</v>
      </c>
      <c r="M51" t="str">
        <f t="shared" si="3"/>
        <v>Under Weight</v>
      </c>
    </row>
    <row r="52" spans="1:13" x14ac:dyDescent="0.25">
      <c r="A52" t="s">
        <v>67</v>
      </c>
      <c r="B52">
        <v>34</v>
      </c>
      <c r="C52" t="s">
        <v>11</v>
      </c>
      <c r="D52">
        <v>98.46</v>
      </c>
      <c r="E52">
        <v>15.38</v>
      </c>
      <c r="F52">
        <v>3</v>
      </c>
      <c r="G52">
        <v>2</v>
      </c>
      <c r="H52">
        <v>2</v>
      </c>
      <c r="I52">
        <v>1.2</v>
      </c>
      <c r="J52" t="s">
        <v>12</v>
      </c>
      <c r="K52">
        <v>3</v>
      </c>
      <c r="L52" s="4">
        <f t="shared" si="2"/>
        <v>15.864875656303504</v>
      </c>
      <c r="M52" t="str">
        <f t="shared" si="3"/>
        <v>Under Weight</v>
      </c>
    </row>
    <row r="53" spans="1:13" x14ac:dyDescent="0.25">
      <c r="A53" t="s">
        <v>68</v>
      </c>
      <c r="B53">
        <v>40</v>
      </c>
      <c r="C53" t="s">
        <v>11</v>
      </c>
      <c r="D53">
        <v>100.6</v>
      </c>
      <c r="E53">
        <v>17.309999999999999</v>
      </c>
      <c r="F53">
        <v>0</v>
      </c>
      <c r="G53">
        <v>3</v>
      </c>
      <c r="H53">
        <v>0</v>
      </c>
      <c r="I53">
        <v>0.6</v>
      </c>
      <c r="J53" t="s">
        <v>27</v>
      </c>
      <c r="K53">
        <v>3</v>
      </c>
      <c r="L53" s="4">
        <f t="shared" si="2"/>
        <v>17.104134635526798</v>
      </c>
      <c r="M53" t="str">
        <f t="shared" si="3"/>
        <v>Under Weight</v>
      </c>
    </row>
    <row r="54" spans="1:13" x14ac:dyDescent="0.25">
      <c r="A54" t="s">
        <v>69</v>
      </c>
      <c r="B54">
        <v>39</v>
      </c>
      <c r="C54" t="s">
        <v>11</v>
      </c>
      <c r="D54">
        <v>96.54</v>
      </c>
      <c r="E54">
        <v>18.239999999999998</v>
      </c>
      <c r="F54">
        <v>4</v>
      </c>
      <c r="G54">
        <v>3</v>
      </c>
      <c r="H54">
        <v>1</v>
      </c>
      <c r="I54">
        <v>1.9</v>
      </c>
      <c r="J54" t="s">
        <v>27</v>
      </c>
      <c r="K54">
        <v>3</v>
      </c>
      <c r="L54" s="4">
        <f t="shared" si="2"/>
        <v>19.570875087215928</v>
      </c>
      <c r="M54" t="str">
        <f t="shared" si="3"/>
        <v>Healthy Weight</v>
      </c>
    </row>
    <row r="55" spans="1:13" x14ac:dyDescent="0.25">
      <c r="A55" t="s">
        <v>70</v>
      </c>
      <c r="B55">
        <v>57</v>
      </c>
      <c r="C55" t="s">
        <v>19</v>
      </c>
      <c r="D55">
        <v>110.58</v>
      </c>
      <c r="E55">
        <v>21.99</v>
      </c>
      <c r="F55">
        <v>3</v>
      </c>
      <c r="G55">
        <v>0</v>
      </c>
      <c r="H55">
        <v>0</v>
      </c>
      <c r="I55">
        <v>0.9</v>
      </c>
      <c r="J55" t="s">
        <v>12</v>
      </c>
      <c r="K55">
        <v>5</v>
      </c>
      <c r="L55" s="4">
        <f t="shared" si="2"/>
        <v>17.983410512341237</v>
      </c>
      <c r="M55" t="str">
        <f t="shared" si="3"/>
        <v>Under Weight</v>
      </c>
    </row>
    <row r="56" spans="1:13" x14ac:dyDescent="0.25">
      <c r="A56" t="s">
        <v>71</v>
      </c>
      <c r="B56">
        <v>50</v>
      </c>
      <c r="C56" t="s">
        <v>11</v>
      </c>
      <c r="D56">
        <v>114.47</v>
      </c>
      <c r="E56">
        <v>18.010000000000002</v>
      </c>
      <c r="F56">
        <v>1</v>
      </c>
      <c r="G56">
        <v>3</v>
      </c>
      <c r="H56">
        <v>0</v>
      </c>
      <c r="I56">
        <v>0.6</v>
      </c>
      <c r="J56" t="s">
        <v>24</v>
      </c>
      <c r="K56">
        <v>4</v>
      </c>
      <c r="L56" s="4">
        <f t="shared" si="2"/>
        <v>13.744544356487417</v>
      </c>
      <c r="M56" t="str">
        <f t="shared" si="3"/>
        <v>Under Weight</v>
      </c>
    </row>
    <row r="57" spans="1:13" x14ac:dyDescent="0.25">
      <c r="A57" t="s">
        <v>72</v>
      </c>
      <c r="B57">
        <v>31</v>
      </c>
      <c r="C57" t="s">
        <v>11</v>
      </c>
      <c r="D57">
        <v>96.28</v>
      </c>
      <c r="E57">
        <v>16.84</v>
      </c>
      <c r="F57">
        <v>4</v>
      </c>
      <c r="G57">
        <v>2</v>
      </c>
      <c r="H57">
        <v>3</v>
      </c>
      <c r="I57">
        <v>0.5</v>
      </c>
      <c r="J57" t="s">
        <v>20</v>
      </c>
      <c r="K57">
        <v>3</v>
      </c>
      <c r="L57" s="4">
        <f t="shared" si="2"/>
        <v>18.166443980296357</v>
      </c>
      <c r="M57" t="str">
        <f t="shared" si="3"/>
        <v>Under Weight</v>
      </c>
    </row>
    <row r="58" spans="1:13" x14ac:dyDescent="0.25">
      <c r="A58" t="s">
        <v>73</v>
      </c>
      <c r="B58">
        <v>44</v>
      </c>
      <c r="C58" t="s">
        <v>11</v>
      </c>
      <c r="D58">
        <v>104.76</v>
      </c>
      <c r="E58">
        <v>18.399999999999999</v>
      </c>
      <c r="F58">
        <v>4</v>
      </c>
      <c r="G58">
        <v>2</v>
      </c>
      <c r="H58">
        <v>1</v>
      </c>
      <c r="I58">
        <v>0.7</v>
      </c>
      <c r="J58" t="s">
        <v>12</v>
      </c>
      <c r="K58">
        <v>4</v>
      </c>
      <c r="L58" s="4">
        <f t="shared" si="2"/>
        <v>16.765898919707524</v>
      </c>
      <c r="M58" t="str">
        <f t="shared" si="3"/>
        <v>Under Weight</v>
      </c>
    </row>
    <row r="59" spans="1:13" x14ac:dyDescent="0.25">
      <c r="A59" t="s">
        <v>74</v>
      </c>
      <c r="B59">
        <v>42</v>
      </c>
      <c r="C59" t="s">
        <v>19</v>
      </c>
      <c r="D59">
        <v>105.35</v>
      </c>
      <c r="E59">
        <v>19.88</v>
      </c>
      <c r="F59">
        <v>1</v>
      </c>
      <c r="G59">
        <v>2</v>
      </c>
      <c r="H59">
        <v>2</v>
      </c>
      <c r="I59">
        <v>2.8</v>
      </c>
      <c r="J59" t="s">
        <v>20</v>
      </c>
      <c r="K59">
        <v>4</v>
      </c>
      <c r="L59" s="4">
        <f t="shared" si="2"/>
        <v>17.912132789452027</v>
      </c>
      <c r="M59" t="str">
        <f t="shared" si="3"/>
        <v>Under Weight</v>
      </c>
    </row>
    <row r="60" spans="1:13" x14ac:dyDescent="0.25">
      <c r="A60" t="s">
        <v>75</v>
      </c>
      <c r="B60">
        <v>59</v>
      </c>
      <c r="C60" t="s">
        <v>19</v>
      </c>
      <c r="D60">
        <v>110.75</v>
      </c>
      <c r="E60">
        <v>24.56</v>
      </c>
      <c r="F60">
        <v>4</v>
      </c>
      <c r="G60">
        <v>4</v>
      </c>
      <c r="H60">
        <v>1</v>
      </c>
      <c r="I60">
        <v>1.7</v>
      </c>
      <c r="J60" t="s">
        <v>12</v>
      </c>
      <c r="K60">
        <v>5</v>
      </c>
      <c r="L60" s="4">
        <f t="shared" si="2"/>
        <v>20.023541521230683</v>
      </c>
      <c r="M60" t="str">
        <f t="shared" si="3"/>
        <v>Healthy Weight</v>
      </c>
    </row>
    <row r="61" spans="1:13" x14ac:dyDescent="0.25">
      <c r="A61" t="s">
        <v>76</v>
      </c>
      <c r="B61">
        <v>56</v>
      </c>
      <c r="C61" t="s">
        <v>19</v>
      </c>
      <c r="D61">
        <v>108</v>
      </c>
      <c r="E61">
        <v>22.24</v>
      </c>
      <c r="F61">
        <v>2</v>
      </c>
      <c r="G61">
        <v>4</v>
      </c>
      <c r="H61">
        <v>2</v>
      </c>
      <c r="I61">
        <v>1.1000000000000001</v>
      </c>
      <c r="J61" t="s">
        <v>14</v>
      </c>
      <c r="K61">
        <v>5</v>
      </c>
      <c r="L61" s="4">
        <f t="shared" si="2"/>
        <v>19.067215363511657</v>
      </c>
      <c r="M61" t="str">
        <f t="shared" si="3"/>
        <v>Healthy Weight</v>
      </c>
    </row>
    <row r="62" spans="1:13" x14ac:dyDescent="0.25">
      <c r="A62" t="s">
        <v>77</v>
      </c>
      <c r="B62">
        <v>32</v>
      </c>
      <c r="C62" t="s">
        <v>11</v>
      </c>
      <c r="D62">
        <v>98.63</v>
      </c>
      <c r="E62">
        <v>17.96</v>
      </c>
      <c r="F62">
        <v>0</v>
      </c>
      <c r="G62">
        <v>0</v>
      </c>
      <c r="H62">
        <v>2</v>
      </c>
      <c r="I62">
        <v>2.6</v>
      </c>
      <c r="J62" t="s">
        <v>24</v>
      </c>
      <c r="K62">
        <v>3</v>
      </c>
      <c r="L62" s="4">
        <f t="shared" si="2"/>
        <v>18.462404679483562</v>
      </c>
      <c r="M62" t="str">
        <f t="shared" si="3"/>
        <v>Under Weight</v>
      </c>
    </row>
    <row r="63" spans="1:13" x14ac:dyDescent="0.25">
      <c r="A63" t="s">
        <v>78</v>
      </c>
      <c r="B63">
        <v>47</v>
      </c>
      <c r="C63" t="s">
        <v>11</v>
      </c>
      <c r="D63">
        <v>103.57</v>
      </c>
      <c r="E63">
        <v>22.13</v>
      </c>
      <c r="F63">
        <v>3</v>
      </c>
      <c r="G63">
        <v>2</v>
      </c>
      <c r="H63">
        <v>0</v>
      </c>
      <c r="I63">
        <v>0.6</v>
      </c>
      <c r="J63" t="s">
        <v>12</v>
      </c>
      <c r="K63">
        <v>4</v>
      </c>
      <c r="L63" s="4">
        <f t="shared" si="2"/>
        <v>20.630676133633052</v>
      </c>
      <c r="M63" t="str">
        <f t="shared" si="3"/>
        <v>Healthy Weight</v>
      </c>
    </row>
    <row r="64" spans="1:13" x14ac:dyDescent="0.25">
      <c r="A64" t="s">
        <v>79</v>
      </c>
      <c r="B64">
        <v>28</v>
      </c>
      <c r="C64" t="s">
        <v>19</v>
      </c>
      <c r="D64">
        <v>92.72</v>
      </c>
      <c r="E64">
        <v>15.7</v>
      </c>
      <c r="F64">
        <v>4</v>
      </c>
      <c r="G64">
        <v>0</v>
      </c>
      <c r="H64">
        <v>1</v>
      </c>
      <c r="I64">
        <v>0.5</v>
      </c>
      <c r="J64" t="s">
        <v>24</v>
      </c>
      <c r="K64">
        <v>2</v>
      </c>
      <c r="L64" s="4">
        <f t="shared" si="2"/>
        <v>18.26218788176115</v>
      </c>
      <c r="M64" t="str">
        <f t="shared" si="3"/>
        <v>Under Weight</v>
      </c>
    </row>
    <row r="65" spans="1:13" x14ac:dyDescent="0.25">
      <c r="A65" t="s">
        <v>80</v>
      </c>
      <c r="B65">
        <v>56</v>
      </c>
      <c r="C65" t="s">
        <v>19</v>
      </c>
      <c r="D65">
        <v>113.3</v>
      </c>
      <c r="E65">
        <v>20.45</v>
      </c>
      <c r="F65">
        <v>2</v>
      </c>
      <c r="G65">
        <v>2</v>
      </c>
      <c r="H65">
        <v>2</v>
      </c>
      <c r="I65">
        <v>0.5</v>
      </c>
      <c r="J65" t="s">
        <v>27</v>
      </c>
      <c r="K65">
        <v>5</v>
      </c>
      <c r="L65" s="4">
        <f t="shared" si="2"/>
        <v>15.930649869244029</v>
      </c>
      <c r="M65" t="str">
        <f t="shared" si="3"/>
        <v>Under Weight</v>
      </c>
    </row>
    <row r="66" spans="1:13" x14ac:dyDescent="0.25">
      <c r="A66" t="s">
        <v>81</v>
      </c>
      <c r="B66">
        <v>38</v>
      </c>
      <c r="C66" t="s">
        <v>19</v>
      </c>
      <c r="D66">
        <v>104.84</v>
      </c>
      <c r="E66">
        <v>19.829999999999998</v>
      </c>
      <c r="F66">
        <v>4</v>
      </c>
      <c r="G66">
        <v>0</v>
      </c>
      <c r="H66">
        <v>0</v>
      </c>
      <c r="I66">
        <v>0.8</v>
      </c>
      <c r="J66" t="s">
        <v>24</v>
      </c>
      <c r="K66">
        <v>3</v>
      </c>
      <c r="L66" s="4">
        <f t="shared" ref="L66:L101" si="4">(E66/(D66/100)^2)</f>
        <v>18.041335784504604</v>
      </c>
      <c r="M66" t="str">
        <f t="shared" ref="M66:M97" si="5">IF(L66&lt;18.5,"Under Weight",IF(L66&lt;24.9,"Healthy Weight",IF(L66&lt;29.9,"Over Weight", IF(L66&gt;30, "Obese"))))</f>
        <v>Under Weight</v>
      </c>
    </row>
    <row r="67" spans="1:13" x14ac:dyDescent="0.25">
      <c r="A67" t="s">
        <v>82</v>
      </c>
      <c r="B67">
        <v>50</v>
      </c>
      <c r="C67" t="s">
        <v>11</v>
      </c>
      <c r="D67">
        <v>104.56</v>
      </c>
      <c r="E67">
        <v>21.62</v>
      </c>
      <c r="F67">
        <v>4</v>
      </c>
      <c r="G67">
        <v>1</v>
      </c>
      <c r="H67">
        <v>1</v>
      </c>
      <c r="I67">
        <v>2</v>
      </c>
      <c r="J67" t="s">
        <v>12</v>
      </c>
      <c r="K67">
        <v>4</v>
      </c>
      <c r="L67" s="4">
        <f t="shared" si="4"/>
        <v>19.775366471749727</v>
      </c>
      <c r="M67" t="str">
        <f t="shared" si="5"/>
        <v>Healthy Weight</v>
      </c>
    </row>
    <row r="68" spans="1:13" x14ac:dyDescent="0.25">
      <c r="A68" t="s">
        <v>83</v>
      </c>
      <c r="B68">
        <v>27</v>
      </c>
      <c r="C68" t="s">
        <v>19</v>
      </c>
      <c r="D68">
        <v>97.32</v>
      </c>
      <c r="E68">
        <v>16.28</v>
      </c>
      <c r="F68">
        <v>2</v>
      </c>
      <c r="G68">
        <v>4</v>
      </c>
      <c r="H68">
        <v>0</v>
      </c>
      <c r="I68">
        <v>0.8</v>
      </c>
      <c r="J68" t="s">
        <v>12</v>
      </c>
      <c r="K68">
        <v>2</v>
      </c>
      <c r="L68" s="4">
        <f t="shared" si="4"/>
        <v>17.188983711262917</v>
      </c>
      <c r="M68" t="str">
        <f t="shared" si="5"/>
        <v>Under Weight</v>
      </c>
    </row>
    <row r="69" spans="1:13" x14ac:dyDescent="0.25">
      <c r="A69" t="s">
        <v>84</v>
      </c>
      <c r="B69">
        <v>32</v>
      </c>
      <c r="C69" t="s">
        <v>11</v>
      </c>
      <c r="D69">
        <v>103.58</v>
      </c>
      <c r="E69">
        <v>15.12</v>
      </c>
      <c r="F69">
        <v>4</v>
      </c>
      <c r="G69">
        <v>0</v>
      </c>
      <c r="H69">
        <v>2</v>
      </c>
      <c r="I69">
        <v>1.8</v>
      </c>
      <c r="J69" t="s">
        <v>20</v>
      </c>
      <c r="K69">
        <v>3</v>
      </c>
      <c r="L69" s="4">
        <f t="shared" si="4"/>
        <v>14.092887263873765</v>
      </c>
      <c r="M69" t="str">
        <f t="shared" si="5"/>
        <v>Under Weight</v>
      </c>
    </row>
    <row r="70" spans="1:13" x14ac:dyDescent="0.25">
      <c r="A70" t="s">
        <v>85</v>
      </c>
      <c r="B70">
        <v>53</v>
      </c>
      <c r="C70" t="s">
        <v>19</v>
      </c>
      <c r="D70">
        <v>105.92</v>
      </c>
      <c r="E70">
        <v>22.98</v>
      </c>
      <c r="F70">
        <v>2</v>
      </c>
      <c r="G70">
        <v>0</v>
      </c>
      <c r="H70">
        <v>0</v>
      </c>
      <c r="I70">
        <v>0.8</v>
      </c>
      <c r="J70" t="s">
        <v>27</v>
      </c>
      <c r="K70">
        <v>4</v>
      </c>
      <c r="L70" s="4">
        <f t="shared" si="4"/>
        <v>20.483024296966988</v>
      </c>
      <c r="M70" t="str">
        <f t="shared" si="5"/>
        <v>Healthy Weight</v>
      </c>
    </row>
    <row r="71" spans="1:13" x14ac:dyDescent="0.25">
      <c r="A71" t="s">
        <v>86</v>
      </c>
      <c r="B71">
        <v>33</v>
      </c>
      <c r="C71" t="s">
        <v>19</v>
      </c>
      <c r="D71">
        <v>104.76</v>
      </c>
      <c r="E71">
        <v>13.89</v>
      </c>
      <c r="F71">
        <v>3</v>
      </c>
      <c r="G71">
        <v>4</v>
      </c>
      <c r="H71">
        <v>0</v>
      </c>
      <c r="I71">
        <v>0.5</v>
      </c>
      <c r="J71" t="s">
        <v>20</v>
      </c>
      <c r="K71">
        <v>3</v>
      </c>
      <c r="L71" s="4">
        <f t="shared" si="4"/>
        <v>12.656431304061822</v>
      </c>
      <c r="M71" t="str">
        <f t="shared" si="5"/>
        <v>Under Weight</v>
      </c>
    </row>
    <row r="72" spans="1:13" x14ac:dyDescent="0.25">
      <c r="A72" t="s">
        <v>87</v>
      </c>
      <c r="B72">
        <v>49</v>
      </c>
      <c r="C72" t="s">
        <v>19</v>
      </c>
      <c r="D72">
        <v>108.22</v>
      </c>
      <c r="E72">
        <v>19.55</v>
      </c>
      <c r="F72">
        <v>1</v>
      </c>
      <c r="G72">
        <v>1</v>
      </c>
      <c r="H72">
        <v>2</v>
      </c>
      <c r="I72">
        <v>1.6</v>
      </c>
      <c r="J72" t="s">
        <v>20</v>
      </c>
      <c r="K72">
        <v>4</v>
      </c>
      <c r="L72" s="4">
        <f t="shared" si="4"/>
        <v>16.692896572247317</v>
      </c>
      <c r="M72" t="str">
        <f t="shared" si="5"/>
        <v>Under Weight</v>
      </c>
    </row>
    <row r="73" spans="1:13" x14ac:dyDescent="0.25">
      <c r="A73" t="s">
        <v>88</v>
      </c>
      <c r="B73">
        <v>32</v>
      </c>
      <c r="C73" t="s">
        <v>11</v>
      </c>
      <c r="D73">
        <v>97.69</v>
      </c>
      <c r="E73">
        <v>18.04</v>
      </c>
      <c r="F73">
        <v>3</v>
      </c>
      <c r="G73">
        <v>2</v>
      </c>
      <c r="H73">
        <v>2</v>
      </c>
      <c r="I73">
        <v>2.2000000000000002</v>
      </c>
      <c r="J73" t="s">
        <v>12</v>
      </c>
      <c r="K73">
        <v>3</v>
      </c>
      <c r="L73" s="4">
        <f t="shared" si="4"/>
        <v>18.903242860743426</v>
      </c>
      <c r="M73" t="str">
        <f t="shared" si="5"/>
        <v>Healthy Weight</v>
      </c>
    </row>
    <row r="74" spans="1:13" x14ac:dyDescent="0.25">
      <c r="A74" t="s">
        <v>89</v>
      </c>
      <c r="B74">
        <v>52</v>
      </c>
      <c r="C74" t="s">
        <v>11</v>
      </c>
      <c r="D74">
        <v>104.99</v>
      </c>
      <c r="E74">
        <v>22.77</v>
      </c>
      <c r="F74">
        <v>3</v>
      </c>
      <c r="G74">
        <v>2</v>
      </c>
      <c r="H74">
        <v>1</v>
      </c>
      <c r="I74">
        <v>1.1000000000000001</v>
      </c>
      <c r="J74" t="s">
        <v>14</v>
      </c>
      <c r="K74">
        <v>4</v>
      </c>
      <c r="L74" s="4">
        <f t="shared" si="4"/>
        <v>20.656995702972939</v>
      </c>
      <c r="M74" t="str">
        <f t="shared" si="5"/>
        <v>Healthy Weight</v>
      </c>
    </row>
    <row r="75" spans="1:13" x14ac:dyDescent="0.25">
      <c r="A75" t="s">
        <v>90</v>
      </c>
      <c r="B75">
        <v>25</v>
      </c>
      <c r="C75" t="s">
        <v>19</v>
      </c>
      <c r="D75">
        <v>88.93</v>
      </c>
      <c r="E75">
        <v>15.5</v>
      </c>
      <c r="F75">
        <v>3</v>
      </c>
      <c r="G75">
        <v>0</v>
      </c>
      <c r="H75">
        <v>3</v>
      </c>
      <c r="I75">
        <v>3.8</v>
      </c>
      <c r="J75" t="s">
        <v>14</v>
      </c>
      <c r="K75">
        <v>2</v>
      </c>
      <c r="L75" s="4">
        <f t="shared" si="4"/>
        <v>19.59905418252098</v>
      </c>
      <c r="M75" t="str">
        <f t="shared" si="5"/>
        <v>Healthy Weight</v>
      </c>
    </row>
    <row r="76" spans="1:13" x14ac:dyDescent="0.25">
      <c r="A76" t="s">
        <v>91</v>
      </c>
      <c r="B76">
        <v>41</v>
      </c>
      <c r="C76" t="s">
        <v>11</v>
      </c>
      <c r="D76">
        <v>105.5</v>
      </c>
      <c r="E76">
        <v>20.18</v>
      </c>
      <c r="F76">
        <v>1</v>
      </c>
      <c r="G76">
        <v>4</v>
      </c>
      <c r="H76">
        <v>3</v>
      </c>
      <c r="I76">
        <v>1.9</v>
      </c>
      <c r="J76" t="s">
        <v>24</v>
      </c>
      <c r="K76">
        <v>3</v>
      </c>
      <c r="L76" s="4">
        <f t="shared" si="4"/>
        <v>18.130769749107163</v>
      </c>
      <c r="M76" t="str">
        <f t="shared" si="5"/>
        <v>Under Weight</v>
      </c>
    </row>
    <row r="77" spans="1:13" x14ac:dyDescent="0.25">
      <c r="A77" t="s">
        <v>92</v>
      </c>
      <c r="B77">
        <v>38</v>
      </c>
      <c r="C77" t="s">
        <v>19</v>
      </c>
      <c r="D77">
        <v>101.47</v>
      </c>
      <c r="E77">
        <v>15.96</v>
      </c>
      <c r="F77">
        <v>1</v>
      </c>
      <c r="G77">
        <v>1</v>
      </c>
      <c r="H77">
        <v>0</v>
      </c>
      <c r="I77">
        <v>0.8</v>
      </c>
      <c r="J77" t="s">
        <v>12</v>
      </c>
      <c r="K77">
        <v>3</v>
      </c>
      <c r="L77" s="4">
        <f t="shared" si="4"/>
        <v>15.500923261601326</v>
      </c>
      <c r="M77" t="str">
        <f t="shared" si="5"/>
        <v>Under Weight</v>
      </c>
    </row>
    <row r="78" spans="1:13" x14ac:dyDescent="0.25">
      <c r="A78" t="s">
        <v>93</v>
      </c>
      <c r="B78">
        <v>46</v>
      </c>
      <c r="C78" t="s">
        <v>19</v>
      </c>
      <c r="D78">
        <v>103.84</v>
      </c>
      <c r="E78">
        <v>17.13</v>
      </c>
      <c r="F78">
        <v>0</v>
      </c>
      <c r="G78">
        <v>4</v>
      </c>
      <c r="H78">
        <v>1</v>
      </c>
      <c r="I78">
        <v>0.7</v>
      </c>
      <c r="J78" t="s">
        <v>20</v>
      </c>
      <c r="K78">
        <v>4</v>
      </c>
      <c r="L78" s="4">
        <f t="shared" si="4"/>
        <v>15.886491841187462</v>
      </c>
      <c r="M78" t="str">
        <f t="shared" si="5"/>
        <v>Under Weight</v>
      </c>
    </row>
    <row r="79" spans="1:13" x14ac:dyDescent="0.25">
      <c r="A79" t="s">
        <v>94</v>
      </c>
      <c r="B79">
        <v>45</v>
      </c>
      <c r="C79" t="s">
        <v>19</v>
      </c>
      <c r="D79">
        <v>103.74</v>
      </c>
      <c r="E79">
        <v>18.21</v>
      </c>
      <c r="F79">
        <v>1</v>
      </c>
      <c r="G79">
        <v>3</v>
      </c>
      <c r="H79">
        <v>0</v>
      </c>
      <c r="I79">
        <v>0.5</v>
      </c>
      <c r="J79" t="s">
        <v>20</v>
      </c>
      <c r="K79">
        <v>4</v>
      </c>
      <c r="L79" s="4">
        <f t="shared" si="4"/>
        <v>16.920666215969256</v>
      </c>
      <c r="M79" t="str">
        <f t="shared" si="5"/>
        <v>Under Weight</v>
      </c>
    </row>
    <row r="80" spans="1:13" x14ac:dyDescent="0.25">
      <c r="A80" t="s">
        <v>95</v>
      </c>
      <c r="B80">
        <v>48</v>
      </c>
      <c r="C80" t="s">
        <v>19</v>
      </c>
      <c r="D80">
        <v>101.32</v>
      </c>
      <c r="E80">
        <v>21.93</v>
      </c>
      <c r="F80">
        <v>4</v>
      </c>
      <c r="G80">
        <v>2</v>
      </c>
      <c r="H80">
        <v>2</v>
      </c>
      <c r="I80">
        <v>2.8</v>
      </c>
      <c r="J80" t="s">
        <v>14</v>
      </c>
      <c r="K80">
        <v>4</v>
      </c>
      <c r="L80" s="4">
        <f t="shared" si="4"/>
        <v>21.36231277340449</v>
      </c>
      <c r="M80" t="str">
        <f t="shared" si="5"/>
        <v>Healthy Weight</v>
      </c>
    </row>
    <row r="81" spans="1:13" x14ac:dyDescent="0.25">
      <c r="A81" t="s">
        <v>96</v>
      </c>
      <c r="B81">
        <v>54</v>
      </c>
      <c r="C81" t="s">
        <v>11</v>
      </c>
      <c r="D81">
        <v>109.83</v>
      </c>
      <c r="E81">
        <v>21.35</v>
      </c>
      <c r="F81">
        <v>3</v>
      </c>
      <c r="G81">
        <v>2</v>
      </c>
      <c r="H81">
        <v>1</v>
      </c>
      <c r="I81">
        <v>0.7</v>
      </c>
      <c r="J81" t="s">
        <v>24</v>
      </c>
      <c r="K81">
        <v>4</v>
      </c>
      <c r="L81" s="4">
        <f t="shared" si="4"/>
        <v>17.699292730459444</v>
      </c>
      <c r="M81" t="str">
        <f t="shared" si="5"/>
        <v>Under Weight</v>
      </c>
    </row>
    <row r="82" spans="1:13" x14ac:dyDescent="0.25">
      <c r="A82" t="s">
        <v>97</v>
      </c>
      <c r="B82">
        <v>49</v>
      </c>
      <c r="C82" t="s">
        <v>19</v>
      </c>
      <c r="D82">
        <v>112.98</v>
      </c>
      <c r="E82">
        <v>18.22</v>
      </c>
      <c r="F82">
        <v>3</v>
      </c>
      <c r="G82">
        <v>1</v>
      </c>
      <c r="H82">
        <v>1</v>
      </c>
      <c r="I82">
        <v>1.7</v>
      </c>
      <c r="J82" t="s">
        <v>12</v>
      </c>
      <c r="K82">
        <v>4</v>
      </c>
      <c r="L82" s="4">
        <f t="shared" si="4"/>
        <v>14.273984861929826</v>
      </c>
      <c r="M82" t="str">
        <f t="shared" si="5"/>
        <v>Under Weight</v>
      </c>
    </row>
    <row r="83" spans="1:13" x14ac:dyDescent="0.25">
      <c r="A83" t="s">
        <v>98</v>
      </c>
      <c r="B83">
        <v>45</v>
      </c>
      <c r="C83" t="s">
        <v>11</v>
      </c>
      <c r="D83">
        <v>104.87</v>
      </c>
      <c r="E83">
        <v>19.66</v>
      </c>
      <c r="F83">
        <v>1</v>
      </c>
      <c r="G83">
        <v>4</v>
      </c>
      <c r="H83">
        <v>2</v>
      </c>
      <c r="I83">
        <v>1.1000000000000001</v>
      </c>
      <c r="J83" t="s">
        <v>27</v>
      </c>
      <c r="K83">
        <v>4</v>
      </c>
      <c r="L83" s="4">
        <f t="shared" si="4"/>
        <v>17.876437608609475</v>
      </c>
      <c r="M83" t="str">
        <f t="shared" si="5"/>
        <v>Under Weight</v>
      </c>
    </row>
    <row r="84" spans="1:13" x14ac:dyDescent="0.25">
      <c r="A84" t="s">
        <v>99</v>
      </c>
      <c r="B84">
        <v>30</v>
      </c>
      <c r="C84" t="s">
        <v>19</v>
      </c>
      <c r="D84">
        <v>100.81</v>
      </c>
      <c r="E84">
        <v>14.39</v>
      </c>
      <c r="F84">
        <v>2</v>
      </c>
      <c r="G84">
        <v>4</v>
      </c>
      <c r="H84">
        <v>2</v>
      </c>
      <c r="I84">
        <v>2.6</v>
      </c>
      <c r="J84" t="s">
        <v>12</v>
      </c>
      <c r="K84">
        <v>2</v>
      </c>
      <c r="L84" s="4">
        <f t="shared" si="4"/>
        <v>14.159684100694896</v>
      </c>
      <c r="M84" t="str">
        <f t="shared" si="5"/>
        <v>Under Weight</v>
      </c>
    </row>
    <row r="85" spans="1:13" x14ac:dyDescent="0.25">
      <c r="A85" t="s">
        <v>100</v>
      </c>
      <c r="B85">
        <v>29</v>
      </c>
      <c r="C85" t="s">
        <v>11</v>
      </c>
      <c r="D85">
        <v>101.16</v>
      </c>
      <c r="E85">
        <v>14.14</v>
      </c>
      <c r="F85">
        <v>2</v>
      </c>
      <c r="G85">
        <v>2</v>
      </c>
      <c r="H85">
        <v>3</v>
      </c>
      <c r="I85">
        <v>1.3</v>
      </c>
      <c r="J85" t="s">
        <v>12</v>
      </c>
      <c r="K85">
        <v>2</v>
      </c>
      <c r="L85" s="4">
        <f t="shared" si="4"/>
        <v>13.817573013462967</v>
      </c>
      <c r="M85" t="str">
        <f t="shared" si="5"/>
        <v>Under Weight</v>
      </c>
    </row>
    <row r="86" spans="1:13" x14ac:dyDescent="0.25">
      <c r="A86" t="s">
        <v>101</v>
      </c>
      <c r="B86">
        <v>57</v>
      </c>
      <c r="C86" t="s">
        <v>11</v>
      </c>
      <c r="D86">
        <v>115.19</v>
      </c>
      <c r="E86">
        <v>20.76</v>
      </c>
      <c r="F86">
        <v>1</v>
      </c>
      <c r="G86">
        <v>4</v>
      </c>
      <c r="H86">
        <v>0</v>
      </c>
      <c r="I86">
        <v>1</v>
      </c>
      <c r="J86" t="s">
        <v>12</v>
      </c>
      <c r="K86">
        <v>5</v>
      </c>
      <c r="L86" s="4">
        <f t="shared" si="4"/>
        <v>15.645800657682841</v>
      </c>
      <c r="M86" t="str">
        <f t="shared" si="5"/>
        <v>Under Weight</v>
      </c>
    </row>
    <row r="87" spans="1:13" x14ac:dyDescent="0.25">
      <c r="A87" t="s">
        <v>102</v>
      </c>
      <c r="B87">
        <v>56</v>
      </c>
      <c r="C87" t="s">
        <v>19</v>
      </c>
      <c r="D87">
        <v>110.72</v>
      </c>
      <c r="E87">
        <v>20.149999999999999</v>
      </c>
      <c r="F87">
        <v>0</v>
      </c>
      <c r="G87">
        <v>1</v>
      </c>
      <c r="H87">
        <v>1</v>
      </c>
      <c r="I87">
        <v>2</v>
      </c>
      <c r="J87" t="s">
        <v>27</v>
      </c>
      <c r="K87">
        <v>5</v>
      </c>
      <c r="L87" s="4">
        <f t="shared" si="4"/>
        <v>16.43701290971967</v>
      </c>
      <c r="M87" t="str">
        <f t="shared" si="5"/>
        <v>Under Weight</v>
      </c>
    </row>
    <row r="88" spans="1:13" x14ac:dyDescent="0.25">
      <c r="A88" t="s">
        <v>103</v>
      </c>
      <c r="B88">
        <v>56</v>
      </c>
      <c r="C88" t="s">
        <v>11</v>
      </c>
      <c r="D88">
        <v>106.73</v>
      </c>
      <c r="E88">
        <v>24.09</v>
      </c>
      <c r="F88">
        <v>0</v>
      </c>
      <c r="G88">
        <v>1</v>
      </c>
      <c r="H88">
        <v>3</v>
      </c>
      <c r="I88">
        <v>1.7</v>
      </c>
      <c r="J88" t="s">
        <v>27</v>
      </c>
      <c r="K88">
        <v>5</v>
      </c>
      <c r="L88" s="4">
        <f t="shared" si="4"/>
        <v>21.147731176326783</v>
      </c>
      <c r="M88" t="str">
        <f t="shared" si="5"/>
        <v>Healthy Weight</v>
      </c>
    </row>
    <row r="89" spans="1:13" x14ac:dyDescent="0.25">
      <c r="A89" t="s">
        <v>104</v>
      </c>
      <c r="B89">
        <v>25</v>
      </c>
      <c r="C89" t="s">
        <v>11</v>
      </c>
      <c r="D89">
        <v>99.72</v>
      </c>
      <c r="E89">
        <v>14.9</v>
      </c>
      <c r="F89">
        <v>4</v>
      </c>
      <c r="G89">
        <v>2</v>
      </c>
      <c r="H89">
        <v>3</v>
      </c>
      <c r="I89">
        <v>2.2000000000000002</v>
      </c>
      <c r="J89" t="s">
        <v>14</v>
      </c>
      <c r="K89">
        <v>2</v>
      </c>
      <c r="L89" s="4">
        <f t="shared" si="4"/>
        <v>14.983791760933824</v>
      </c>
      <c r="M89" t="str">
        <f t="shared" si="5"/>
        <v>Under Weight</v>
      </c>
    </row>
    <row r="90" spans="1:13" x14ac:dyDescent="0.25">
      <c r="A90" t="s">
        <v>105</v>
      </c>
      <c r="B90">
        <v>30</v>
      </c>
      <c r="C90" t="s">
        <v>11</v>
      </c>
      <c r="D90">
        <v>96.45</v>
      </c>
      <c r="E90">
        <v>14.77</v>
      </c>
      <c r="F90">
        <v>4</v>
      </c>
      <c r="G90">
        <v>2</v>
      </c>
      <c r="H90">
        <v>0</v>
      </c>
      <c r="I90">
        <v>0.6</v>
      </c>
      <c r="J90" t="s">
        <v>24</v>
      </c>
      <c r="K90">
        <v>2</v>
      </c>
      <c r="L90" s="4">
        <f t="shared" si="4"/>
        <v>15.877277353299789</v>
      </c>
      <c r="M90" t="str">
        <f t="shared" si="5"/>
        <v>Under Weight</v>
      </c>
    </row>
    <row r="91" spans="1:13" x14ac:dyDescent="0.25">
      <c r="A91" t="s">
        <v>106</v>
      </c>
      <c r="B91">
        <v>53</v>
      </c>
      <c r="C91" t="s">
        <v>19</v>
      </c>
      <c r="D91">
        <v>106.44</v>
      </c>
      <c r="E91">
        <v>20.73</v>
      </c>
      <c r="F91">
        <v>4</v>
      </c>
      <c r="G91">
        <v>3</v>
      </c>
      <c r="H91">
        <v>2</v>
      </c>
      <c r="I91">
        <v>2</v>
      </c>
      <c r="J91" t="s">
        <v>12</v>
      </c>
      <c r="K91">
        <v>4</v>
      </c>
      <c r="L91" s="4">
        <f t="shared" si="4"/>
        <v>18.29740792193558</v>
      </c>
      <c r="M91" t="str">
        <f t="shared" si="5"/>
        <v>Under Weight</v>
      </c>
    </row>
    <row r="92" spans="1:13" x14ac:dyDescent="0.25">
      <c r="A92" t="s">
        <v>107</v>
      </c>
      <c r="B92">
        <v>29</v>
      </c>
      <c r="C92" t="s">
        <v>11</v>
      </c>
      <c r="D92">
        <v>97.77</v>
      </c>
      <c r="E92">
        <v>15.72</v>
      </c>
      <c r="F92">
        <v>2</v>
      </c>
      <c r="G92">
        <v>0</v>
      </c>
      <c r="H92">
        <v>0</v>
      </c>
      <c r="I92">
        <v>0.9</v>
      </c>
      <c r="J92" t="s">
        <v>12</v>
      </c>
      <c r="K92">
        <v>2</v>
      </c>
      <c r="L92" s="4">
        <f t="shared" si="4"/>
        <v>16.445281479979926</v>
      </c>
      <c r="M92" t="str">
        <f t="shared" si="5"/>
        <v>Under Weight</v>
      </c>
    </row>
    <row r="93" spans="1:13" x14ac:dyDescent="0.25">
      <c r="A93" t="s">
        <v>108</v>
      </c>
      <c r="B93">
        <v>58</v>
      </c>
      <c r="C93" t="s">
        <v>19</v>
      </c>
      <c r="D93">
        <v>113.49</v>
      </c>
      <c r="E93">
        <v>25.26</v>
      </c>
      <c r="F93">
        <v>0</v>
      </c>
      <c r="G93">
        <v>4</v>
      </c>
      <c r="H93">
        <v>3</v>
      </c>
      <c r="I93">
        <v>3</v>
      </c>
      <c r="J93" t="s">
        <v>27</v>
      </c>
      <c r="K93">
        <v>5</v>
      </c>
      <c r="L93" s="4">
        <f t="shared" si="4"/>
        <v>19.611831543124822</v>
      </c>
      <c r="M93" t="str">
        <f t="shared" si="5"/>
        <v>Healthy Weight</v>
      </c>
    </row>
    <row r="94" spans="1:13" x14ac:dyDescent="0.25">
      <c r="A94" t="s">
        <v>109</v>
      </c>
      <c r="B94">
        <v>26</v>
      </c>
      <c r="C94" t="s">
        <v>19</v>
      </c>
      <c r="D94">
        <v>92.08</v>
      </c>
      <c r="E94">
        <v>15.29</v>
      </c>
      <c r="F94">
        <v>4</v>
      </c>
      <c r="G94">
        <v>1</v>
      </c>
      <c r="H94">
        <v>2</v>
      </c>
      <c r="I94">
        <v>2.6</v>
      </c>
      <c r="J94" t="s">
        <v>20</v>
      </c>
      <c r="K94">
        <v>2</v>
      </c>
      <c r="L94" s="4">
        <f t="shared" si="4"/>
        <v>18.033368785198682</v>
      </c>
      <c r="M94" t="str">
        <f t="shared" si="5"/>
        <v>Under Weight</v>
      </c>
    </row>
    <row r="95" spans="1:13" x14ac:dyDescent="0.25">
      <c r="A95" t="s">
        <v>110</v>
      </c>
      <c r="B95">
        <v>25</v>
      </c>
      <c r="C95" t="s">
        <v>11</v>
      </c>
      <c r="D95">
        <v>96.42</v>
      </c>
      <c r="E95">
        <v>15.34</v>
      </c>
      <c r="F95">
        <v>4</v>
      </c>
      <c r="G95">
        <v>3</v>
      </c>
      <c r="H95">
        <v>2</v>
      </c>
      <c r="I95">
        <v>0.9</v>
      </c>
      <c r="J95" t="s">
        <v>20</v>
      </c>
      <c r="K95">
        <v>2</v>
      </c>
      <c r="L95" s="4">
        <f t="shared" si="4"/>
        <v>16.500272071630885</v>
      </c>
      <c r="M95" t="str">
        <f t="shared" si="5"/>
        <v>Under Weight</v>
      </c>
    </row>
    <row r="96" spans="1:13" x14ac:dyDescent="0.25">
      <c r="A96" t="s">
        <v>111</v>
      </c>
      <c r="B96">
        <v>59</v>
      </c>
      <c r="C96" t="s">
        <v>11</v>
      </c>
      <c r="D96">
        <v>108.1</v>
      </c>
      <c r="E96">
        <v>19.25</v>
      </c>
      <c r="F96">
        <v>1</v>
      </c>
      <c r="G96">
        <v>0</v>
      </c>
      <c r="H96">
        <v>1</v>
      </c>
      <c r="I96">
        <v>1</v>
      </c>
      <c r="J96" t="s">
        <v>12</v>
      </c>
      <c r="K96">
        <v>5</v>
      </c>
      <c r="L96" s="4">
        <f t="shared" si="4"/>
        <v>16.47325214515973</v>
      </c>
      <c r="M96" t="str">
        <f t="shared" si="5"/>
        <v>Under Weight</v>
      </c>
    </row>
    <row r="97" spans="1:13" x14ac:dyDescent="0.25">
      <c r="A97" t="s">
        <v>112</v>
      </c>
      <c r="B97">
        <v>50</v>
      </c>
      <c r="C97" t="s">
        <v>11</v>
      </c>
      <c r="D97">
        <v>109.15</v>
      </c>
      <c r="E97">
        <v>22.09</v>
      </c>
      <c r="F97">
        <v>1</v>
      </c>
      <c r="G97">
        <v>4</v>
      </c>
      <c r="H97">
        <v>0</v>
      </c>
      <c r="I97">
        <v>0.6</v>
      </c>
      <c r="J97" t="s">
        <v>14</v>
      </c>
      <c r="K97">
        <v>4</v>
      </c>
      <c r="L97" s="4">
        <f t="shared" si="4"/>
        <v>18.541643890060385</v>
      </c>
      <c r="M97" t="str">
        <f t="shared" si="5"/>
        <v>Healthy Weight</v>
      </c>
    </row>
    <row r="98" spans="1:13" x14ac:dyDescent="0.25">
      <c r="A98" t="s">
        <v>113</v>
      </c>
      <c r="B98">
        <v>48</v>
      </c>
      <c r="C98" t="s">
        <v>19</v>
      </c>
      <c r="D98">
        <v>107.71</v>
      </c>
      <c r="E98">
        <v>19.079999999999998</v>
      </c>
      <c r="F98">
        <v>0</v>
      </c>
      <c r="G98">
        <v>2</v>
      </c>
      <c r="H98">
        <v>2</v>
      </c>
      <c r="I98">
        <v>1.8</v>
      </c>
      <c r="J98" t="s">
        <v>20</v>
      </c>
      <c r="K98">
        <v>4</v>
      </c>
      <c r="L98" s="4">
        <f t="shared" si="4"/>
        <v>16.446228448404973</v>
      </c>
      <c r="M98" t="str">
        <f t="shared" ref="M98:M129" si="6">IF(L98&lt;18.5,"Under Weight",IF(L98&lt;24.9,"Healthy Weight",IF(L98&lt;29.9,"Over Weight", IF(L98&gt;30, "Obese"))))</f>
        <v>Under Weight</v>
      </c>
    </row>
    <row r="99" spans="1:13" x14ac:dyDescent="0.25">
      <c r="A99" t="s">
        <v>114</v>
      </c>
      <c r="B99">
        <v>57</v>
      </c>
      <c r="C99" t="s">
        <v>19</v>
      </c>
      <c r="D99">
        <v>112.41</v>
      </c>
      <c r="E99">
        <v>21.55</v>
      </c>
      <c r="F99">
        <v>2</v>
      </c>
      <c r="G99">
        <v>4</v>
      </c>
      <c r="H99">
        <v>0</v>
      </c>
      <c r="I99">
        <v>0.9</v>
      </c>
      <c r="J99" t="s">
        <v>12</v>
      </c>
      <c r="K99">
        <v>5</v>
      </c>
      <c r="L99" s="4">
        <f t="shared" si="4"/>
        <v>17.054436677671966</v>
      </c>
      <c r="M99" t="str">
        <f t="shared" si="6"/>
        <v>Under Weight</v>
      </c>
    </row>
    <row r="100" spans="1:13" x14ac:dyDescent="0.25">
      <c r="A100" t="s">
        <v>115</v>
      </c>
      <c r="B100">
        <v>45</v>
      </c>
      <c r="C100" t="s">
        <v>19</v>
      </c>
      <c r="D100">
        <v>110.12</v>
      </c>
      <c r="E100">
        <v>18.510000000000002</v>
      </c>
      <c r="F100">
        <v>0</v>
      </c>
      <c r="G100">
        <v>2</v>
      </c>
      <c r="H100">
        <v>0</v>
      </c>
      <c r="I100">
        <v>0.9</v>
      </c>
      <c r="J100" t="s">
        <v>24</v>
      </c>
      <c r="K100">
        <v>4</v>
      </c>
      <c r="L100" s="4">
        <f t="shared" si="4"/>
        <v>15.264198789050129</v>
      </c>
      <c r="M100" t="str">
        <f t="shared" si="6"/>
        <v>Under Weight</v>
      </c>
    </row>
    <row r="101" spans="1:13" x14ac:dyDescent="0.25">
      <c r="A101" t="s">
        <v>116</v>
      </c>
      <c r="B101">
        <v>49</v>
      </c>
      <c r="C101" t="s">
        <v>19</v>
      </c>
      <c r="D101">
        <v>106.6</v>
      </c>
      <c r="E101">
        <v>21.21</v>
      </c>
      <c r="F101">
        <v>0</v>
      </c>
      <c r="G101">
        <v>0</v>
      </c>
      <c r="H101">
        <v>2</v>
      </c>
      <c r="I101">
        <v>2.5</v>
      </c>
      <c r="J101" t="s">
        <v>24</v>
      </c>
      <c r="K101">
        <v>4</v>
      </c>
      <c r="L101" s="4">
        <f t="shared" si="4"/>
        <v>18.664925428298883</v>
      </c>
      <c r="M101" t="str">
        <f t="shared" si="6"/>
        <v>Healthy Weight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C9E7-E5A6-46A0-AA56-6D06E7B0EFE8}">
  <dimension ref="A1:D7"/>
  <sheetViews>
    <sheetView zoomScale="80" zoomScaleNormal="80" workbookViewId="0">
      <selection activeCell="I19" sqref="I19"/>
    </sheetView>
  </sheetViews>
  <sheetFormatPr defaultRowHeight="15" x14ac:dyDescent="0.25"/>
  <cols>
    <col min="1" max="1" width="15.5703125" bestFit="1" customWidth="1"/>
    <col min="2" max="2" width="16.42578125" bestFit="1" customWidth="1"/>
    <col min="3" max="3" width="12.7109375" bestFit="1" customWidth="1"/>
    <col min="4" max="4" width="11.5703125" bestFit="1" customWidth="1"/>
  </cols>
  <sheetData>
    <row r="1" spans="1:4" x14ac:dyDescent="0.25">
      <c r="A1" t="s">
        <v>125</v>
      </c>
    </row>
    <row r="3" spans="1:4" x14ac:dyDescent="0.25">
      <c r="A3" s="1" t="s">
        <v>126</v>
      </c>
      <c r="B3" s="1" t="s">
        <v>127</v>
      </c>
    </row>
    <row r="4" spans="1:4" x14ac:dyDescent="0.25">
      <c r="A4" s="1" t="s">
        <v>1</v>
      </c>
      <c r="B4" t="s">
        <v>128</v>
      </c>
      <c r="C4" t="s">
        <v>129</v>
      </c>
      <c r="D4" t="s">
        <v>130</v>
      </c>
    </row>
    <row r="5" spans="1:4" x14ac:dyDescent="0.25">
      <c r="A5" s="2" t="s">
        <v>131</v>
      </c>
      <c r="B5" s="14">
        <v>6</v>
      </c>
      <c r="C5" s="14">
        <v>33</v>
      </c>
      <c r="D5" s="14">
        <v>39</v>
      </c>
    </row>
    <row r="6" spans="1:4" x14ac:dyDescent="0.25">
      <c r="A6" s="2" t="s">
        <v>132</v>
      </c>
      <c r="B6" s="14">
        <v>18</v>
      </c>
      <c r="C6" s="14">
        <v>43</v>
      </c>
      <c r="D6" s="14">
        <v>61</v>
      </c>
    </row>
    <row r="7" spans="1:4" x14ac:dyDescent="0.25">
      <c r="A7" s="2" t="s">
        <v>130</v>
      </c>
      <c r="B7" s="14">
        <v>24</v>
      </c>
      <c r="C7" s="14">
        <v>76</v>
      </c>
      <c r="D7" s="14">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F77DF-0CD0-4628-8C5D-841E45BCAB24}">
  <dimension ref="A1:B33"/>
  <sheetViews>
    <sheetView workbookViewId="0">
      <selection activeCell="F17" sqref="F17"/>
    </sheetView>
  </sheetViews>
  <sheetFormatPr defaultRowHeight="15" x14ac:dyDescent="0.25"/>
  <cols>
    <col min="1" max="1" width="17" bestFit="1" customWidth="1"/>
    <col min="2" max="2" width="14.7109375" bestFit="1" customWidth="1"/>
    <col min="3" max="7" width="11.85546875" bestFit="1" customWidth="1"/>
  </cols>
  <sheetData>
    <row r="1" spans="1:2" x14ac:dyDescent="0.25">
      <c r="A1" s="5" t="s">
        <v>133</v>
      </c>
    </row>
    <row r="3" spans="1:2" x14ac:dyDescent="0.25">
      <c r="A3" s="1" t="s">
        <v>134</v>
      </c>
      <c r="B3" t="s">
        <v>135</v>
      </c>
    </row>
    <row r="4" spans="1:2" x14ac:dyDescent="0.25">
      <c r="A4" s="2">
        <v>0</v>
      </c>
      <c r="B4" s="4">
        <v>17.566529534524921</v>
      </c>
    </row>
    <row r="5" spans="1:2" x14ac:dyDescent="0.25">
      <c r="A5" s="3">
        <v>0</v>
      </c>
      <c r="B5" s="4">
        <v>19.016420427584645</v>
      </c>
    </row>
    <row r="6" spans="1:2" x14ac:dyDescent="0.25">
      <c r="A6" s="3">
        <v>1</v>
      </c>
      <c r="B6" s="4">
        <v>17.280117596560103</v>
      </c>
    </row>
    <row r="7" spans="1:2" x14ac:dyDescent="0.25">
      <c r="A7" s="3">
        <v>2</v>
      </c>
      <c r="B7" s="4">
        <v>16.27305047255906</v>
      </c>
    </row>
    <row r="8" spans="1:2" x14ac:dyDescent="0.25">
      <c r="A8" s="3">
        <v>3</v>
      </c>
      <c r="B8" s="4">
        <v>17.104134635526798</v>
      </c>
    </row>
    <row r="9" spans="1:2" x14ac:dyDescent="0.25">
      <c r="A9" s="3">
        <v>4</v>
      </c>
      <c r="B9" s="4">
        <v>18.137073212360072</v>
      </c>
    </row>
    <row r="10" spans="1:2" x14ac:dyDescent="0.25">
      <c r="A10" s="2">
        <v>1</v>
      </c>
      <c r="B10" s="4">
        <v>16.468003433538151</v>
      </c>
    </row>
    <row r="11" spans="1:2" x14ac:dyDescent="0.25">
      <c r="A11" s="3">
        <v>0</v>
      </c>
      <c r="B11" s="4">
        <v>16.35248862763348</v>
      </c>
    </row>
    <row r="12" spans="1:2" x14ac:dyDescent="0.25">
      <c r="A12" s="3">
        <v>1</v>
      </c>
      <c r="B12" s="4">
        <v>16.201722814253078</v>
      </c>
    </row>
    <row r="13" spans="1:2" x14ac:dyDescent="0.25">
      <c r="A13" s="3">
        <v>2</v>
      </c>
      <c r="B13" s="4">
        <v>17.145357431721354</v>
      </c>
    </row>
    <row r="14" spans="1:2" x14ac:dyDescent="0.25">
      <c r="A14" s="3">
        <v>3</v>
      </c>
      <c r="B14" s="4">
        <v>15.486892118792989</v>
      </c>
    </row>
    <row r="15" spans="1:2" x14ac:dyDescent="0.25">
      <c r="A15" s="3">
        <v>4</v>
      </c>
      <c r="B15" s="4">
        <v>17.548662976364966</v>
      </c>
    </row>
    <row r="16" spans="1:2" x14ac:dyDescent="0.25">
      <c r="A16" s="2">
        <v>2</v>
      </c>
      <c r="B16" s="4">
        <v>16.87382757410969</v>
      </c>
    </row>
    <row r="17" spans="1:2" x14ac:dyDescent="0.25">
      <c r="A17" s="3">
        <v>0</v>
      </c>
      <c r="B17" s="4">
        <v>18.304030863042058</v>
      </c>
    </row>
    <row r="18" spans="1:2" x14ac:dyDescent="0.25">
      <c r="A18" s="3">
        <v>1</v>
      </c>
      <c r="B18" s="4">
        <v>13.414804870225169</v>
      </c>
    </row>
    <row r="19" spans="1:2" x14ac:dyDescent="0.25">
      <c r="A19" s="3">
        <v>2</v>
      </c>
      <c r="B19" s="4">
        <v>17.219114471226323</v>
      </c>
    </row>
    <row r="20" spans="1:2" x14ac:dyDescent="0.25">
      <c r="A20" s="3">
        <v>4</v>
      </c>
      <c r="B20" s="4">
        <v>17.104693630968079</v>
      </c>
    </row>
    <row r="21" spans="1:2" x14ac:dyDescent="0.25">
      <c r="A21" s="2">
        <v>3</v>
      </c>
      <c r="B21" s="4">
        <v>17.50835442521058</v>
      </c>
    </row>
    <row r="22" spans="1:2" x14ac:dyDescent="0.25">
      <c r="A22" s="3">
        <v>0</v>
      </c>
      <c r="B22" s="4">
        <v>18.791232347431109</v>
      </c>
    </row>
    <row r="23" spans="1:2" x14ac:dyDescent="0.25">
      <c r="A23" s="3">
        <v>1</v>
      </c>
      <c r="B23" s="4">
        <v>15.547827345547695</v>
      </c>
    </row>
    <row r="24" spans="1:2" x14ac:dyDescent="0.25">
      <c r="A24" s="3">
        <v>2</v>
      </c>
      <c r="B24" s="4">
        <v>18.37904051788599</v>
      </c>
    </row>
    <row r="25" spans="1:2" x14ac:dyDescent="0.25">
      <c r="A25" s="3">
        <v>3</v>
      </c>
      <c r="B25" s="4">
        <v>19.105850849662808</v>
      </c>
    </row>
    <row r="26" spans="1:2" x14ac:dyDescent="0.25">
      <c r="A26" s="3">
        <v>4</v>
      </c>
      <c r="B26" s="4">
        <v>15.747317770125974</v>
      </c>
    </row>
    <row r="27" spans="1:2" x14ac:dyDescent="0.25">
      <c r="A27" s="2">
        <v>4</v>
      </c>
      <c r="B27" s="4">
        <v>17.004575438549672</v>
      </c>
    </row>
    <row r="28" spans="1:2" x14ac:dyDescent="0.25">
      <c r="A28" s="3">
        <v>0</v>
      </c>
      <c r="B28" s="4">
        <v>17.326942725016981</v>
      </c>
    </row>
    <row r="29" spans="1:2" x14ac:dyDescent="0.25">
      <c r="A29" s="3">
        <v>1</v>
      </c>
      <c r="B29" s="4">
        <v>16.827714126941665</v>
      </c>
    </row>
    <row r="30" spans="1:2" x14ac:dyDescent="0.25">
      <c r="A30" s="3">
        <v>2</v>
      </c>
      <c r="B30" s="4">
        <v>16.79563742079436</v>
      </c>
    </row>
    <row r="31" spans="1:2" x14ac:dyDescent="0.25">
      <c r="A31" s="3">
        <v>3</v>
      </c>
      <c r="B31" s="4">
        <v>16.427913820241738</v>
      </c>
    </row>
    <row r="32" spans="1:2" x14ac:dyDescent="0.25">
      <c r="A32" s="3">
        <v>4</v>
      </c>
      <c r="B32" s="4">
        <v>20.023541521230683</v>
      </c>
    </row>
    <row r="33" spans="1:2" x14ac:dyDescent="0.25">
      <c r="A33" s="2" t="s">
        <v>130</v>
      </c>
      <c r="B33" s="4">
        <v>17.058049606125383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6A9D-F141-4108-89C1-CC30B27BCFBF}">
  <dimension ref="A1:C6"/>
  <sheetViews>
    <sheetView workbookViewId="0">
      <selection activeCell="C11" sqref="C11"/>
    </sheetView>
  </sheetViews>
  <sheetFormatPr defaultRowHeight="15" x14ac:dyDescent="0.25"/>
  <cols>
    <col min="1" max="1" width="14.85546875" bestFit="1" customWidth="1"/>
    <col min="2" max="2" width="28.140625" bestFit="1" customWidth="1"/>
    <col min="3" max="3" width="28.42578125" bestFit="1" customWidth="1"/>
    <col min="4" max="4" width="10.7109375" bestFit="1" customWidth="1"/>
    <col min="5" max="9" width="3.85546875" bestFit="1" customWidth="1"/>
    <col min="10" max="10" width="1.85546875" bestFit="1" customWidth="1"/>
    <col min="11" max="14" width="3.85546875" bestFit="1" customWidth="1"/>
    <col min="15" max="15" width="1.85546875" bestFit="1" customWidth="1"/>
    <col min="16" max="17" width="3.85546875" bestFit="1" customWidth="1"/>
    <col min="18" max="18" width="17.85546875" bestFit="1" customWidth="1"/>
    <col min="19" max="19" width="13.42578125" bestFit="1" customWidth="1"/>
    <col min="20" max="23" width="3.85546875" bestFit="1" customWidth="1"/>
    <col min="24" max="24" width="1.85546875" bestFit="1" customWidth="1"/>
    <col min="25" max="32" width="3.85546875" bestFit="1" customWidth="1"/>
    <col min="33" max="33" width="1.85546875" bestFit="1" customWidth="1"/>
    <col min="34" max="40" width="3.85546875" bestFit="1" customWidth="1"/>
    <col min="41" max="41" width="16.42578125" bestFit="1" customWidth="1"/>
    <col min="42" max="42" width="10.7109375" bestFit="1" customWidth="1"/>
  </cols>
  <sheetData>
    <row r="1" spans="1:3" x14ac:dyDescent="0.25">
      <c r="A1" s="6" t="s">
        <v>136</v>
      </c>
    </row>
    <row r="3" spans="1:3" x14ac:dyDescent="0.25">
      <c r="A3" s="1" t="s">
        <v>137</v>
      </c>
      <c r="B3" t="s">
        <v>138</v>
      </c>
      <c r="C3" t="s">
        <v>139</v>
      </c>
    </row>
    <row r="4" spans="1:3" x14ac:dyDescent="0.25">
      <c r="A4" s="2" t="s">
        <v>128</v>
      </c>
      <c r="B4" s="4">
        <v>1.6875000000000002</v>
      </c>
      <c r="C4" s="4">
        <v>1.5833333333333333</v>
      </c>
    </row>
    <row r="5" spans="1:3" x14ac:dyDescent="0.25">
      <c r="A5" s="2" t="s">
        <v>129</v>
      </c>
      <c r="B5" s="4">
        <v>1.2986842105263157</v>
      </c>
      <c r="C5" s="4">
        <v>1.3026315789473684</v>
      </c>
    </row>
    <row r="6" spans="1:3" x14ac:dyDescent="0.25">
      <c r="A6" s="2" t="s">
        <v>130</v>
      </c>
      <c r="B6" s="4">
        <v>1.3919999999999999</v>
      </c>
      <c r="C6" s="4">
        <v>1.37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0AE3-67C4-4C42-A4B8-6E992C0B9141}">
  <dimension ref="A1:C9"/>
  <sheetViews>
    <sheetView workbookViewId="0">
      <selection activeCell="C14" sqref="C14"/>
    </sheetView>
  </sheetViews>
  <sheetFormatPr defaultRowHeight="15" x14ac:dyDescent="0.25"/>
  <cols>
    <col min="1" max="1" width="11.28515625" bestFit="1" customWidth="1"/>
    <col min="2" max="2" width="14.7109375" bestFit="1" customWidth="1"/>
    <col min="3" max="3" width="29.7109375" bestFit="1" customWidth="1"/>
  </cols>
  <sheetData>
    <row r="1" spans="1:3" x14ac:dyDescent="0.25">
      <c r="A1" s="7"/>
    </row>
    <row r="2" spans="1:3" x14ac:dyDescent="0.25">
      <c r="A2" s="6" t="s">
        <v>140</v>
      </c>
    </row>
    <row r="3" spans="1:3" x14ac:dyDescent="0.25">
      <c r="A3" s="1" t="s">
        <v>9</v>
      </c>
      <c r="B3" t="s">
        <v>135</v>
      </c>
      <c r="C3" t="s">
        <v>141</v>
      </c>
    </row>
    <row r="4" spans="1:3" x14ac:dyDescent="0.25">
      <c r="A4" s="2" t="s">
        <v>14</v>
      </c>
      <c r="B4" s="4">
        <v>17.280514841003029</v>
      </c>
      <c r="C4" s="4">
        <v>2.3333333333333335</v>
      </c>
    </row>
    <row r="5" spans="1:3" x14ac:dyDescent="0.25">
      <c r="A5" s="2" t="s">
        <v>20</v>
      </c>
      <c r="B5" s="4">
        <v>16.371172019628016</v>
      </c>
      <c r="C5" s="4">
        <v>2.1428571428571428</v>
      </c>
    </row>
    <row r="6" spans="1:3" x14ac:dyDescent="0.25">
      <c r="A6" s="2" t="s">
        <v>24</v>
      </c>
      <c r="B6" s="4">
        <v>16.789441132947946</v>
      </c>
      <c r="C6" s="4">
        <v>2</v>
      </c>
    </row>
    <row r="7" spans="1:3" x14ac:dyDescent="0.25">
      <c r="A7" s="2" t="s">
        <v>12</v>
      </c>
      <c r="B7" s="4">
        <v>17.188810268120474</v>
      </c>
      <c r="C7" s="4">
        <v>2.5</v>
      </c>
    </row>
    <row r="8" spans="1:3" x14ac:dyDescent="0.25">
      <c r="A8" s="2" t="s">
        <v>27</v>
      </c>
      <c r="B8" s="4">
        <v>17.912368815419139</v>
      </c>
      <c r="C8" s="4">
        <v>1.5833333333333333</v>
      </c>
    </row>
    <row r="9" spans="1:3" x14ac:dyDescent="0.25">
      <c r="A9" s="2" t="s">
        <v>130</v>
      </c>
      <c r="B9" s="4">
        <v>17.058049606125373</v>
      </c>
      <c r="C9" s="4">
        <v>2.19</v>
      </c>
    </row>
  </sheetData>
  <conditionalFormatting pivot="1" sqref="C4:C8">
    <cfRule type="top10" dxfId="4" priority="3" bottom="1" rank="1"/>
  </conditionalFormatting>
  <conditionalFormatting pivot="1" sqref="C4:C8">
    <cfRule type="top10" dxfId="3" priority="2" rank="1"/>
  </conditionalFormatting>
  <conditionalFormatting pivot="1" sqref="C4:C8">
    <cfRule type="top10" dxfId="2" priority="1" bottom="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710E-4A79-46CB-9578-4E7C15C77ACF}">
  <dimension ref="A1"/>
  <sheetViews>
    <sheetView topLeftCell="A16" zoomScale="80" zoomScaleNormal="80" workbookViewId="0">
      <selection activeCell="V11" sqref="V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1685A-3F5C-499D-BA71-A19493D1C3ED}">
  <dimension ref="A1:A47"/>
  <sheetViews>
    <sheetView workbookViewId="0">
      <selection activeCell="F51" sqref="F51"/>
    </sheetView>
  </sheetViews>
  <sheetFormatPr defaultRowHeight="15" x14ac:dyDescent="0.25"/>
  <sheetData>
    <row r="1" spans="1:1" ht="23.25" x14ac:dyDescent="0.25">
      <c r="A1" s="11" t="s">
        <v>142</v>
      </c>
    </row>
    <row r="3" spans="1:1" ht="18" x14ac:dyDescent="0.25">
      <c r="A3" s="12" t="s">
        <v>143</v>
      </c>
    </row>
    <row r="4" spans="1:1" x14ac:dyDescent="0.25">
      <c r="A4" s="13"/>
    </row>
    <row r="5" spans="1:1" x14ac:dyDescent="0.25">
      <c r="A5" s="13" t="s">
        <v>144</v>
      </c>
    </row>
    <row r="6" spans="1:1" x14ac:dyDescent="0.25">
      <c r="A6" s="13"/>
    </row>
    <row r="7" spans="1:1" x14ac:dyDescent="0.25">
      <c r="A7" s="13" t="s">
        <v>145</v>
      </c>
    </row>
    <row r="9" spans="1:1" ht="18" x14ac:dyDescent="0.25">
      <c r="A9" s="12" t="s">
        <v>146</v>
      </c>
    </row>
    <row r="10" spans="1:1" x14ac:dyDescent="0.25">
      <c r="A10" s="13"/>
    </row>
    <row r="11" spans="1:1" x14ac:dyDescent="0.25">
      <c r="A11" s="13" t="s">
        <v>147</v>
      </c>
    </row>
    <row r="12" spans="1:1" x14ac:dyDescent="0.25">
      <c r="A12" s="13"/>
    </row>
    <row r="13" spans="1:1" x14ac:dyDescent="0.25">
      <c r="A13" s="13" t="s">
        <v>148</v>
      </c>
    </row>
    <row r="14" spans="1:1" x14ac:dyDescent="0.25">
      <c r="A14" s="13"/>
    </row>
    <row r="15" spans="1:1" x14ac:dyDescent="0.25">
      <c r="A15" s="13" t="s">
        <v>149</v>
      </c>
    </row>
    <row r="16" spans="1:1" x14ac:dyDescent="0.25">
      <c r="A16" s="13"/>
    </row>
    <row r="17" spans="1:1" x14ac:dyDescent="0.25">
      <c r="A17" s="13" t="s">
        <v>150</v>
      </c>
    </row>
    <row r="18" spans="1:1" x14ac:dyDescent="0.25">
      <c r="A18" s="13"/>
    </row>
    <row r="19" spans="1:1" x14ac:dyDescent="0.25">
      <c r="A19" s="13" t="s">
        <v>151</v>
      </c>
    </row>
    <row r="20" spans="1:1" x14ac:dyDescent="0.25">
      <c r="A20" s="13"/>
    </row>
    <row r="21" spans="1:1" x14ac:dyDescent="0.25">
      <c r="A21" s="13" t="s">
        <v>152</v>
      </c>
    </row>
    <row r="23" spans="1:1" ht="18" x14ac:dyDescent="0.25">
      <c r="A23" s="12" t="s">
        <v>153</v>
      </c>
    </row>
    <row r="24" spans="1:1" x14ac:dyDescent="0.25">
      <c r="A24" s="13"/>
    </row>
    <row r="25" spans="1:1" x14ac:dyDescent="0.25">
      <c r="A25" s="13" t="s">
        <v>154</v>
      </c>
    </row>
    <row r="26" spans="1:1" x14ac:dyDescent="0.25">
      <c r="A26" s="13"/>
    </row>
    <row r="27" spans="1:1" x14ac:dyDescent="0.25">
      <c r="A27" s="13" t="s">
        <v>155</v>
      </c>
    </row>
    <row r="28" spans="1:1" x14ac:dyDescent="0.25">
      <c r="A28" s="13"/>
    </row>
    <row r="29" spans="1:1" x14ac:dyDescent="0.25">
      <c r="A29" s="13" t="s">
        <v>156</v>
      </c>
    </row>
    <row r="31" spans="1:1" ht="18" x14ac:dyDescent="0.25">
      <c r="A31" s="12" t="s">
        <v>157</v>
      </c>
    </row>
    <row r="32" spans="1:1" x14ac:dyDescent="0.25">
      <c r="A32" s="13"/>
    </row>
    <row r="33" spans="1:1" x14ac:dyDescent="0.25">
      <c r="A33" s="13" t="s">
        <v>158</v>
      </c>
    </row>
    <row r="34" spans="1:1" x14ac:dyDescent="0.25">
      <c r="A34" s="13"/>
    </row>
    <row r="35" spans="1:1" x14ac:dyDescent="0.25">
      <c r="A35" s="13" t="s">
        <v>159</v>
      </c>
    </row>
    <row r="36" spans="1:1" x14ac:dyDescent="0.25">
      <c r="A36" s="13"/>
    </row>
    <row r="37" spans="1:1" x14ac:dyDescent="0.25">
      <c r="A37" s="13" t="s">
        <v>160</v>
      </c>
    </row>
    <row r="38" spans="1:1" x14ac:dyDescent="0.25">
      <c r="A38" s="13"/>
    </row>
    <row r="39" spans="1:1" x14ac:dyDescent="0.25">
      <c r="A39" s="13" t="s">
        <v>161</v>
      </c>
    </row>
    <row r="40" spans="1:1" x14ac:dyDescent="0.25">
      <c r="A40" s="13"/>
    </row>
    <row r="41" spans="1:1" x14ac:dyDescent="0.25">
      <c r="A41" s="13" t="s">
        <v>162</v>
      </c>
    </row>
    <row r="43" spans="1:1" ht="18" x14ac:dyDescent="0.25">
      <c r="A43" s="12" t="s">
        <v>163</v>
      </c>
    </row>
    <row r="44" spans="1:1" x14ac:dyDescent="0.25">
      <c r="A44" s="13"/>
    </row>
    <row r="45" spans="1:1" x14ac:dyDescent="0.25">
      <c r="A45" s="13" t="s">
        <v>164</v>
      </c>
    </row>
    <row r="46" spans="1:1" x14ac:dyDescent="0.25">
      <c r="A46" s="13"/>
    </row>
    <row r="47" spans="1:1" x14ac:dyDescent="0.25">
      <c r="A47" s="13" t="s">
        <v>165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B5BC12-05FD-402F-852E-2DCCBD6B7B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Kids growth analysis</vt:lpstr>
      <vt:lpstr>Health status</vt:lpstr>
      <vt:lpstr>Nutrient analysis</vt:lpstr>
      <vt:lpstr>Sugar &amp; screen time</vt:lpstr>
      <vt:lpstr>Regional Analysis</vt:lpstr>
      <vt:lpstr>Dashboard</vt:lpstr>
      <vt:lpstr>Summary</vt:lpstr>
      <vt:lpstr>Cleaned_Data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Nithin Munirathnam</dc:creator>
  <cp:keywords/>
  <dc:description/>
  <cp:lastModifiedBy>Kaniki Haripriya</cp:lastModifiedBy>
  <cp:revision/>
  <dcterms:created xsi:type="dcterms:W3CDTF">2026-03-18T08:48:47Z</dcterms:created>
  <dcterms:modified xsi:type="dcterms:W3CDTF">2026-03-24T06:17:52Z</dcterms:modified>
  <cp:category/>
  <cp:contentStatus/>
</cp:coreProperties>
</file>